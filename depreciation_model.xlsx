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Parameters" sheetId="2" state="visible" r:id="rId2"/>
    <sheet name="AssetRegister" sheetId="3" state="visible" r:id="rId3"/>
    <sheet name="Movements_Clean" sheetId="4" state="visible" r:id="rId4"/>
    <sheet name="Expected_MonthlyTotals" sheetId="5" state="visible" r:id="rId5"/>
    <sheet name="PQ_MonthlyTotals" sheetId="6" state="visible" r:id="rId6"/>
    <sheet name="Check" sheetId="7" state="visible" r:id="rId7"/>
  </sheets>
  <definedNames>
    <definedName name="SourceFolder">Parameters!$B$2</definedName>
    <definedName name="ReportStart">Parameters!$B$3</definedName>
    <definedName name="ReportMonths">Parameters!$B$4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"/>
  </numFmts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AssetRegister" displayName="tblAssetRegister" ref="A1:H321" headerRowCount="1">
  <autoFilter ref="A1:H321"/>
  <tableColumns count="8">
    <tableColumn id="1" name="asset_id"/>
    <tableColumn id="2" name="asset_name"/>
    <tableColumn id="3" name="category"/>
    <tableColumn id="4" name="cost_centre"/>
    <tableColumn id="5" name="acquisition_date"/>
    <tableColumn id="6" name="cost"/>
    <tableColumn id="7" name="useful_life_months"/>
    <tableColumn id="8" name="disposal_date"/>
  </tableColumns>
  <tableStyleInfo name="TableStyleMedium2" showRowStripes="1"/>
</table>
</file>

<file path=xl/tables/table2.xml><?xml version="1.0" encoding="utf-8"?>
<table xmlns="http://schemas.openxmlformats.org/spreadsheetml/2006/main" id="2" name="tblMovementsClean" displayName="tblMovementsClean" ref="A1:I136" headerRowCount="1">
  <autoFilter ref="A1:I136"/>
  <tableColumns count="9">
    <tableColumn id="1" name="asset_id"/>
    <tableColumn id="2" name="movement_type"/>
    <tableColumn id="3" name="movement_date"/>
    <tableColumn id="4" name="amount"/>
    <tableColumn id="5" name="asset_name"/>
    <tableColumn id="6" name="category"/>
    <tableColumn id="7" name="useful_life_months"/>
    <tableColumn id="8" name="cost_centre"/>
    <tableColumn id="9" name="source_file"/>
  </tableColumns>
  <tableStyleInfo name="TableStyleMedium2" showRowStripes="1"/>
</table>
</file>

<file path=xl/tables/table3.xml><?xml version="1.0" encoding="utf-8"?>
<table xmlns="http://schemas.openxmlformats.org/spreadsheetml/2006/main" id="3" name="tblExpectedMonthlyTotals" displayName="tblExpectedMonthlyTotals" ref="A1:L25" headerRowCount="1">
  <autoFilter ref="A1:L25"/>
  <tableColumns count="12">
    <tableColumn id="1" name="month_start"/>
    <tableColumn id="2" name="asset_rows"/>
    <tableColumn id="3" name="opening_cost"/>
    <tableColumn id="4" name="additions"/>
    <tableColumn id="5" name="disposals_cost"/>
    <tableColumn id="6" name="closing_cost"/>
    <tableColumn id="7" name="opening_acc_dep"/>
    <tableColumn id="8" name="depreciation"/>
    <tableColumn id="9" name="disposal_acc_dep"/>
    <tableColumn id="10" name="closing_acc_dep"/>
    <tableColumn id="11" name="closing_nbv"/>
    <tableColumn id="12" name="disposal_nbv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Intangible-asset depreciation model</t>
        </is>
      </c>
    </row>
    <row r="2">
      <c r="A2" s="2" t="inlineStr">
        <is>
          <t>Synthetic data. Rebuilt from scratch; the production version is proprietary.</t>
        </is>
      </c>
    </row>
    <row r="3">
      <c r="A3" s="2" t="inlineStr"/>
    </row>
    <row r="4">
      <c r="A4" s="3" t="inlineStr">
        <is>
          <t>How this workbook works</t>
        </is>
      </c>
    </row>
    <row r="5">
      <c r="A5" s="2" t="inlineStr">
        <is>
          <t>1. Parameters: set SourceFolder to the full path of the repo's source_files folder.</t>
        </is>
      </c>
    </row>
    <row r="6">
      <c r="A6" s="2" t="inlineStr">
        <is>
          <t>2. Paste the Power Query scripts from powerquery/ (see docs/LOAD_QUERIES.md).</t>
        </is>
      </c>
    </row>
    <row r="7">
      <c r="A7" s="2" t="inlineStr">
        <is>
          <t>3. Load query MonthlyTotals to sheet PQ_MonthlyTotals, cell A1.</t>
        </is>
      </c>
    </row>
    <row r="8">
      <c r="A8" s="2" t="inlineStr">
        <is>
          <t>4. Data &gt; Refresh All. The Check sheet compares Power Query with the Python</t>
        </is>
      </c>
    </row>
    <row r="9">
      <c r="A9" s="2" t="inlineStr">
        <is>
          <t xml:space="preserve">   reference totals in Expected_MonthlyTotals (tolerance 0.01 per value).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AssetRegister - opening register (source data, as in source_files/).</t>
        </is>
      </c>
    </row>
    <row r="13">
      <c r="A13" s="2" t="inlineStr">
        <is>
          <t>Movements_Clean - movements as cleaned by the Python reference implementation.</t>
        </is>
      </c>
    </row>
    <row r="14">
      <c r="A14" s="2" t="inlineStr">
        <is>
          <t>Expected_MonthlyTotals - Python reference monthly totals (expected_outputs/).</t>
        </is>
      </c>
    </row>
    <row r="15">
      <c r="A15" s="2" t="inlineStr">
        <is>
          <t>PQ_MonthlyTotals - empty until the MonthlyTotals query is loaded here.</t>
        </is>
      </c>
    </row>
    <row r="16">
      <c r="A16" s="2" t="inlineStr">
        <is>
          <t>Check - formula comparison, one row per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55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Used by</t>
        </is>
      </c>
    </row>
    <row r="2">
      <c r="A2" t="inlineStr">
        <is>
          <t>SourceFolder</t>
        </is>
      </c>
      <c r="B2" t="inlineStr">
        <is>
          <t>C:\CHANGE-ME\excel-power-query-depreciation\source_files\</t>
        </is>
      </c>
      <c r="C2" t="inlineStr">
        <is>
          <t>01_pSourceFolder.pq - folder with asset_register.csv and movements</t>
        </is>
      </c>
    </row>
    <row r="3">
      <c r="A3" t="inlineStr">
        <is>
          <t>ReportStart</t>
        </is>
      </c>
      <c r="B3" s="5" t="n">
        <v>45292</v>
      </c>
      <c r="C3" t="inlineStr">
        <is>
          <t>02_pReportStart.pq - first reporting month</t>
        </is>
      </c>
    </row>
    <row r="4">
      <c r="A4" t="inlineStr">
        <is>
          <t>ReportMonths</t>
        </is>
      </c>
      <c r="B4" t="n">
        <v>24</v>
      </c>
      <c r="C4" t="inlineStr">
        <is>
          <t>03_pReportMonths.pq - number of reporting months</t>
        </is>
      </c>
    </row>
    <row r="6">
      <c r="A6" t="inlineStr">
        <is>
          <t>Each value is a named range; Power Query reads it via Excel.CurrentWorkbook().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0" customWidth="1" min="7" max="7"/>
    <col width="15" customWidth="1" min="8" max="8"/>
  </cols>
  <sheetData>
    <row r="1">
      <c r="A1" t="inlineStr">
        <is>
          <t>asset_id</t>
        </is>
      </c>
      <c r="B1" t="inlineStr">
        <is>
          <t>asset_name</t>
        </is>
      </c>
      <c r="C1" t="inlineStr">
        <is>
          <t>category</t>
        </is>
      </c>
      <c r="D1" t="inlineStr">
        <is>
          <t>cost_centre</t>
        </is>
      </c>
      <c r="E1" t="inlineStr">
        <is>
          <t>acquisition_date</t>
        </is>
      </c>
      <c r="F1" t="inlineStr">
        <is>
          <t>cost</t>
        </is>
      </c>
      <c r="G1" t="inlineStr">
        <is>
          <t>useful_life_months</t>
        </is>
      </c>
      <c r="H1" t="inlineStr">
        <is>
          <t>disposal_date</t>
        </is>
      </c>
    </row>
    <row r="2">
      <c r="A2" t="inlineStr">
        <is>
          <t>IA-00001</t>
        </is>
      </c>
      <c r="B2" t="inlineStr">
        <is>
          <t>Network capacity right (2019)</t>
        </is>
      </c>
      <c r="C2" t="inlineStr">
        <is>
          <t>Usage rights</t>
        </is>
      </c>
      <c r="D2" t="inlineStr">
        <is>
          <t>CC-500</t>
        </is>
      </c>
      <c r="E2" s="5" t="n">
        <v>43652</v>
      </c>
      <c r="F2" t="n">
        <v>1437812.04</v>
      </c>
      <c r="G2" t="n">
        <v>60</v>
      </c>
      <c r="H2" s="5" t="n"/>
    </row>
    <row r="3">
      <c r="A3" t="inlineStr">
        <is>
          <t>IA-00002</t>
        </is>
      </c>
      <c r="B3" t="inlineStr">
        <is>
          <t>Brand licence (2022)</t>
        </is>
      </c>
      <c r="C3" t="inlineStr">
        <is>
          <t>Trademarks and other rights</t>
        </is>
      </c>
      <c r="D3" t="inlineStr">
        <is>
          <t>CC-400</t>
        </is>
      </c>
      <c r="E3" s="5" t="n">
        <v>44594</v>
      </c>
      <c r="F3" t="n">
        <v>181686.3</v>
      </c>
      <c r="G3" t="n">
        <v>60</v>
      </c>
      <c r="H3" s="5" t="n">
        <v>44751</v>
      </c>
    </row>
    <row r="4">
      <c r="A4" t="inlineStr">
        <is>
          <t>IA-00003</t>
        </is>
      </c>
      <c r="B4" t="inlineStr">
        <is>
          <t>Integration layer (2018)</t>
        </is>
      </c>
      <c r="C4" t="inlineStr">
        <is>
          <t>Capitalised development</t>
        </is>
      </c>
      <c r="D4" t="inlineStr">
        <is>
          <t>CC-400</t>
        </is>
      </c>
      <c r="E4" s="5" t="n">
        <v>43453</v>
      </c>
      <c r="F4" t="n">
        <v>681035.0600000001</v>
      </c>
      <c r="G4" t="n">
        <v>48</v>
      </c>
      <c r="H4" s="5" t="n"/>
    </row>
    <row r="5">
      <c r="A5" t="inlineStr">
        <is>
          <t>IA-00004</t>
        </is>
      </c>
      <c r="B5" t="inlineStr">
        <is>
          <t>Monitoring tool licence (2017)</t>
        </is>
      </c>
      <c r="C5" t="inlineStr">
        <is>
          <t>Software licences</t>
        </is>
      </c>
      <c r="D5" t="inlineStr">
        <is>
          <t>CC-600</t>
        </is>
      </c>
      <c r="E5" s="5" t="n">
        <v>43033</v>
      </c>
      <c r="F5" t="n">
        <v>47760.42</v>
      </c>
      <c r="G5" t="n">
        <v>36</v>
      </c>
      <c r="H5" s="5" t="n"/>
    </row>
    <row r="6">
      <c r="A6" t="inlineStr">
        <is>
          <t>IA-00005</t>
        </is>
      </c>
      <c r="B6" t="inlineStr">
        <is>
          <t>Site access right (2021)</t>
        </is>
      </c>
      <c r="C6" t="inlineStr">
        <is>
          <t>Usage rights</t>
        </is>
      </c>
      <c r="D6" t="inlineStr">
        <is>
          <t>CC-300</t>
        </is>
      </c>
      <c r="E6" s="5" t="n">
        <v>44215</v>
      </c>
      <c r="F6" t="n">
        <v>970372.1800000001</v>
      </c>
      <c r="G6" t="n">
        <v>60</v>
      </c>
      <c r="H6" s="5" t="n"/>
    </row>
    <row r="7">
      <c r="A7" t="inlineStr">
        <is>
          <t>IA-00006</t>
        </is>
      </c>
      <c r="B7" t="inlineStr">
        <is>
          <t>Content rights package (2022)</t>
        </is>
      </c>
      <c r="C7" t="inlineStr">
        <is>
          <t>Trademarks and other rights</t>
        </is>
      </c>
      <c r="D7" t="inlineStr">
        <is>
          <t>CC-300</t>
        </is>
      </c>
      <c r="E7" s="5" t="n">
        <v>44644</v>
      </c>
      <c r="F7" t="n">
        <v>20503.26</v>
      </c>
      <c r="G7" t="n">
        <v>60</v>
      </c>
      <c r="H7" s="5" t="n"/>
    </row>
    <row r="8">
      <c r="A8" t="inlineStr">
        <is>
          <t>IA-00007</t>
        </is>
      </c>
      <c r="B8" t="inlineStr">
        <is>
          <t>Collaboration suite licence (2017)</t>
        </is>
      </c>
      <c r="C8" t="inlineStr">
        <is>
          <t>Software licences</t>
        </is>
      </c>
      <c r="D8" t="inlineStr">
        <is>
          <t>CC-500</t>
        </is>
      </c>
      <c r="E8" s="5" t="n">
        <v>42820</v>
      </c>
      <c r="F8" t="n">
        <v>84829.42999999999</v>
      </c>
      <c r="G8" t="n">
        <v>48</v>
      </c>
      <c r="H8" s="5" t="n"/>
    </row>
    <row r="9">
      <c r="A9" t="inlineStr">
        <is>
          <t>IA-00008</t>
        </is>
      </c>
      <c r="B9" t="inlineStr">
        <is>
          <t>Collaboration suite licence (2018)</t>
        </is>
      </c>
      <c r="C9" t="inlineStr">
        <is>
          <t>Software licences</t>
        </is>
      </c>
      <c r="D9" t="inlineStr">
        <is>
          <t>CC-500</t>
        </is>
      </c>
      <c r="E9" s="5" t="n">
        <v>43452</v>
      </c>
      <c r="F9" t="n">
        <v>32654.36</v>
      </c>
      <c r="G9" t="n">
        <v>36</v>
      </c>
      <c r="H9" s="5" t="n"/>
    </row>
    <row r="10">
      <c r="A10" t="inlineStr">
        <is>
          <t>IA-00009</t>
        </is>
      </c>
      <c r="B10" t="inlineStr">
        <is>
          <t>Analytics suite licence (2019)</t>
        </is>
      </c>
      <c r="C10" t="inlineStr">
        <is>
          <t>Software licences</t>
        </is>
      </c>
      <c r="D10" t="inlineStr">
        <is>
          <t>CC-500</t>
        </is>
      </c>
      <c r="E10" s="5" t="n">
        <v>43760</v>
      </c>
      <c r="F10" t="n">
        <v>11033.66</v>
      </c>
      <c r="G10" t="n">
        <v>60</v>
      </c>
      <c r="H10" s="5" t="n"/>
    </row>
    <row r="11">
      <c r="A11" t="inlineStr">
        <is>
          <t>IA-00010</t>
        </is>
      </c>
      <c r="B11" t="inlineStr">
        <is>
          <t>Duct usage right (2021)</t>
        </is>
      </c>
      <c r="C11" t="inlineStr">
        <is>
          <t>Usage rights</t>
        </is>
      </c>
      <c r="D11" t="inlineStr">
        <is>
          <t>CC-500</t>
        </is>
      </c>
      <c r="E11" s="5" t="n">
        <v>44416</v>
      </c>
      <c r="F11" t="n">
        <v>169695.98</v>
      </c>
      <c r="G11" t="n">
        <v>180</v>
      </c>
      <c r="H11" s="5" t="n"/>
    </row>
    <row r="12">
      <c r="A12" t="inlineStr">
        <is>
          <t>IA-00011</t>
        </is>
      </c>
      <c r="B12" t="inlineStr">
        <is>
          <t>Network capacity right (2019)</t>
        </is>
      </c>
      <c r="C12" t="inlineStr">
        <is>
          <t>Usage rights</t>
        </is>
      </c>
      <c r="D12" t="inlineStr">
        <is>
          <t>CC-500</t>
        </is>
      </c>
      <c r="E12" s="5" t="n">
        <v>43502</v>
      </c>
      <c r="F12" t="n">
        <v>154465.25</v>
      </c>
      <c r="G12" t="n">
        <v>120</v>
      </c>
      <c r="H12" s="5" t="n"/>
    </row>
    <row r="13">
      <c r="A13" t="inlineStr">
        <is>
          <t>IA-00012</t>
        </is>
      </c>
      <c r="B13" t="inlineStr">
        <is>
          <t>ERP licence (2016)</t>
        </is>
      </c>
      <c r="C13" t="inlineStr">
        <is>
          <t>Software licences</t>
        </is>
      </c>
      <c r="D13" t="inlineStr">
        <is>
          <t>CC-500</t>
        </is>
      </c>
      <c r="E13" s="5" t="n">
        <v>42391</v>
      </c>
      <c r="F13" t="n">
        <v>134981.26</v>
      </c>
      <c r="G13" t="n">
        <v>48</v>
      </c>
      <c r="H13" s="5" t="n"/>
    </row>
    <row r="14">
      <c r="A14" t="inlineStr">
        <is>
          <t>IA-00013</t>
        </is>
      </c>
      <c r="B14" t="inlineStr">
        <is>
          <t>Order management feature (2022)</t>
        </is>
      </c>
      <c r="C14" t="inlineStr">
        <is>
          <t>Capitalised development</t>
        </is>
      </c>
      <c r="D14" t="inlineStr">
        <is>
          <t>CC-400</t>
        </is>
      </c>
      <c r="E14" s="5" t="n">
        <v>44651</v>
      </c>
      <c r="F14" t="n">
        <v>114740.12</v>
      </c>
      <c r="G14" t="n">
        <v>36</v>
      </c>
      <c r="H14" s="5" t="n"/>
    </row>
    <row r="15">
      <c r="A15" t="inlineStr">
        <is>
          <t>IA-00014</t>
        </is>
      </c>
      <c r="B15" t="inlineStr">
        <is>
          <t>ERP licence (2021)</t>
        </is>
      </c>
      <c r="C15" t="inlineStr">
        <is>
          <t>Software licences</t>
        </is>
      </c>
      <c r="D15" t="inlineStr">
        <is>
          <t>CC-600</t>
        </is>
      </c>
      <c r="E15" s="5" t="n">
        <v>44323</v>
      </c>
      <c r="F15" t="n">
        <v>32880.06</v>
      </c>
      <c r="G15" t="n">
        <v>48</v>
      </c>
      <c r="H15" s="5" t="n"/>
    </row>
    <row r="16">
      <c r="A16" t="inlineStr">
        <is>
          <t>IA-00015</t>
        </is>
      </c>
      <c r="B16" t="inlineStr">
        <is>
          <t>Network capacity right (2021)</t>
        </is>
      </c>
      <c r="C16" t="inlineStr">
        <is>
          <t>Usage rights</t>
        </is>
      </c>
      <c r="D16" t="inlineStr">
        <is>
          <t>CC-400</t>
        </is>
      </c>
      <c r="E16" s="5" t="n">
        <v>44224</v>
      </c>
      <c r="F16" t="n">
        <v>435998.31</v>
      </c>
      <c r="G16" t="n">
        <v>180</v>
      </c>
      <c r="H16" s="5" t="n"/>
    </row>
    <row r="17">
      <c r="A17" t="inlineStr">
        <is>
          <t>IA-00016</t>
        </is>
      </c>
      <c r="B17" t="inlineStr">
        <is>
          <t>Database licence (2019)</t>
        </is>
      </c>
      <c r="C17" t="inlineStr">
        <is>
          <t>Software licences</t>
        </is>
      </c>
      <c r="D17" t="inlineStr">
        <is>
          <t>CC-200</t>
        </is>
      </c>
      <c r="E17" s="5" t="n">
        <v>43646</v>
      </c>
      <c r="F17" t="n">
        <v>10442.04</v>
      </c>
      <c r="G17" t="n">
        <v>48</v>
      </c>
      <c r="H17" s="5" t="n"/>
    </row>
    <row r="18">
      <c r="A18" t="inlineStr">
        <is>
          <t>IA-00017</t>
        </is>
      </c>
      <c r="B18" t="inlineStr">
        <is>
          <t>Content rights package (2017)</t>
        </is>
      </c>
      <c r="C18" t="inlineStr">
        <is>
          <t>Trademarks and other rights</t>
        </is>
      </c>
      <c r="D18" t="inlineStr">
        <is>
          <t>CC-200</t>
        </is>
      </c>
      <c r="E18" s="5" t="n">
        <v>43053</v>
      </c>
      <c r="F18" t="n">
        <v>12399.51</v>
      </c>
      <c r="G18" t="n">
        <v>120</v>
      </c>
      <c r="H18" s="5" t="n"/>
    </row>
    <row r="19">
      <c r="A19" t="inlineStr">
        <is>
          <t>IA-00018</t>
        </is>
      </c>
      <c r="B19" t="inlineStr">
        <is>
          <t>Data warehouse build (2020)</t>
        </is>
      </c>
      <c r="C19" t="inlineStr">
        <is>
          <t>Capitalised development</t>
        </is>
      </c>
      <c r="D19" t="inlineStr">
        <is>
          <t>CC-600</t>
        </is>
      </c>
      <c r="E19" s="5" t="n">
        <v>43997</v>
      </c>
      <c r="F19" t="n">
        <v>395348.71</v>
      </c>
      <c r="G19" t="n">
        <v>48</v>
      </c>
      <c r="H19" s="5" t="n"/>
    </row>
    <row r="20">
      <c r="A20" t="inlineStr">
        <is>
          <t>IA-00019</t>
        </is>
      </c>
      <c r="B20" t="inlineStr">
        <is>
          <t>Database licence (2022)</t>
        </is>
      </c>
      <c r="C20" t="inlineStr">
        <is>
          <t>Software licences</t>
        </is>
      </c>
      <c r="D20" t="inlineStr">
        <is>
          <t>CC-100</t>
        </is>
      </c>
      <c r="E20" s="5" t="n">
        <v>44748</v>
      </c>
      <c r="F20" t="n">
        <v>8439.620000000001</v>
      </c>
      <c r="G20" t="n">
        <v>36</v>
      </c>
      <c r="H20" s="5" t="n"/>
    </row>
    <row r="21">
      <c r="A21" t="inlineStr">
        <is>
          <t>IA-00020</t>
        </is>
      </c>
      <c r="B21" t="inlineStr">
        <is>
          <t>Billing engine module (2019)</t>
        </is>
      </c>
      <c r="C21" t="inlineStr">
        <is>
          <t>Capitalised development</t>
        </is>
      </c>
      <c r="D21" t="inlineStr">
        <is>
          <t>CC-600</t>
        </is>
      </c>
      <c r="E21" s="5" t="n">
        <v>43719</v>
      </c>
      <c r="F21" t="n">
        <v>36952.73</v>
      </c>
      <c r="G21" t="n">
        <v>48</v>
      </c>
      <c r="H21" s="5" t="n"/>
    </row>
    <row r="22">
      <c r="A22" t="inlineStr">
        <is>
          <t>IA-00021</t>
        </is>
      </c>
      <c r="B22" t="inlineStr">
        <is>
          <t>CRM licence (2021)</t>
        </is>
      </c>
      <c r="C22" t="inlineStr">
        <is>
          <t>Software licences</t>
        </is>
      </c>
      <c r="D22" t="inlineStr">
        <is>
          <t>CC-300</t>
        </is>
      </c>
      <c r="E22" s="5" t="n">
        <v>44404</v>
      </c>
      <c r="F22" t="n">
        <v>29410.27</v>
      </c>
      <c r="G22" t="n">
        <v>36</v>
      </c>
      <c r="H22" s="5" t="n"/>
    </row>
    <row r="23">
      <c r="A23" t="inlineStr">
        <is>
          <t>IA-00022</t>
        </is>
      </c>
      <c r="B23" t="inlineStr">
        <is>
          <t>Data warehouse build (2018)</t>
        </is>
      </c>
      <c r="C23" t="inlineStr">
        <is>
          <t>Capitalised development</t>
        </is>
      </c>
      <c r="D23" t="inlineStr">
        <is>
          <t>CC-300</t>
        </is>
      </c>
      <c r="E23" s="5" t="n">
        <v>43427</v>
      </c>
      <c r="F23" t="n">
        <v>27921.19</v>
      </c>
      <c r="G23" t="n">
        <v>36</v>
      </c>
      <c r="H23" s="5" t="n"/>
    </row>
    <row r="24">
      <c r="A24" t="inlineStr">
        <is>
          <t>IA-00023</t>
        </is>
      </c>
      <c r="B24" t="inlineStr">
        <is>
          <t>Domain portfolio (2023)</t>
        </is>
      </c>
      <c r="C24" t="inlineStr">
        <is>
          <t>Trademarks and other rights</t>
        </is>
      </c>
      <c r="D24" t="inlineStr">
        <is>
          <t>CC-200</t>
        </is>
      </c>
      <c r="E24" s="5" t="n">
        <v>45024</v>
      </c>
      <c r="F24" t="n">
        <v>132121.29</v>
      </c>
      <c r="G24" t="n">
        <v>120</v>
      </c>
      <c r="H24" s="5" t="n"/>
    </row>
    <row r="25">
      <c r="A25" t="inlineStr">
        <is>
          <t>IA-00024</t>
        </is>
      </c>
      <c r="B25" t="inlineStr">
        <is>
          <t>Content distribution right (2021)</t>
        </is>
      </c>
      <c r="C25" t="inlineStr">
        <is>
          <t>Usage rights</t>
        </is>
      </c>
      <c r="D25" t="inlineStr">
        <is>
          <t>CC-500</t>
        </is>
      </c>
      <c r="E25" s="5" t="n">
        <v>44464</v>
      </c>
      <c r="F25" t="n">
        <v>290015.84</v>
      </c>
      <c r="G25" t="n">
        <v>84</v>
      </c>
      <c r="H25" s="5" t="n"/>
    </row>
    <row r="26">
      <c r="A26" t="inlineStr">
        <is>
          <t>IA-00025</t>
        </is>
      </c>
      <c r="B26" t="inlineStr">
        <is>
          <t>Security software licence (2023)</t>
        </is>
      </c>
      <c r="C26" t="inlineStr">
        <is>
          <t>Software licences</t>
        </is>
      </c>
      <c r="D26" t="inlineStr">
        <is>
          <t>CC-200</t>
        </is>
      </c>
      <c r="E26" s="5" t="n">
        <v>45007</v>
      </c>
      <c r="F26" t="n">
        <v>30703.03</v>
      </c>
      <c r="G26" t="n">
        <v>60</v>
      </c>
      <c r="H26" s="5" t="n"/>
    </row>
    <row r="27">
      <c r="A27" t="inlineStr">
        <is>
          <t>IA-00026</t>
        </is>
      </c>
      <c r="B27" t="inlineStr">
        <is>
          <t>Data warehouse build (2017)</t>
        </is>
      </c>
      <c r="C27" t="inlineStr">
        <is>
          <t>Capitalised development</t>
        </is>
      </c>
      <c r="D27" t="inlineStr">
        <is>
          <t>CC-100</t>
        </is>
      </c>
      <c r="E27" s="5" t="n">
        <v>42886</v>
      </c>
      <c r="F27" t="n">
        <v>521429.32</v>
      </c>
      <c r="G27" t="n">
        <v>60</v>
      </c>
      <c r="H27" s="5" t="n"/>
    </row>
    <row r="28">
      <c r="A28" t="inlineStr">
        <is>
          <t>IA-00027</t>
        </is>
      </c>
      <c r="B28" t="inlineStr">
        <is>
          <t>Billing engine module (2019)</t>
        </is>
      </c>
      <c r="C28" t="inlineStr">
        <is>
          <t>Capitalised development</t>
        </is>
      </c>
      <c r="D28" t="inlineStr">
        <is>
          <t>CC-400</t>
        </is>
      </c>
      <c r="E28" s="5" t="n">
        <v>43632</v>
      </c>
      <c r="F28" t="n">
        <v>217823.54</v>
      </c>
      <c r="G28" t="n">
        <v>36</v>
      </c>
      <c r="H28" s="5" t="n"/>
    </row>
    <row r="29">
      <c r="A29" t="inlineStr">
        <is>
          <t>IA-00028</t>
        </is>
      </c>
      <c r="B29" t="inlineStr">
        <is>
          <t>Security software licence (2019)</t>
        </is>
      </c>
      <c r="C29" t="inlineStr">
        <is>
          <t>Software licences</t>
        </is>
      </c>
      <c r="D29" t="inlineStr">
        <is>
          <t>CC-200</t>
        </is>
      </c>
      <c r="E29" s="5" t="n">
        <v>43584</v>
      </c>
      <c r="F29" t="n">
        <v>4818.09</v>
      </c>
      <c r="G29" t="n">
        <v>48</v>
      </c>
      <c r="H29" s="5" t="n"/>
    </row>
    <row r="30">
      <c r="A30" t="inlineStr">
        <is>
          <t>IA-00029</t>
        </is>
      </c>
      <c r="B30" t="inlineStr">
        <is>
          <t>CRM licence (2017)</t>
        </is>
      </c>
      <c r="C30" t="inlineStr">
        <is>
          <t>Software licences</t>
        </is>
      </c>
      <c r="D30" t="inlineStr">
        <is>
          <t>CC-400</t>
        </is>
      </c>
      <c r="E30" s="5" t="n">
        <v>42792</v>
      </c>
      <c r="F30" t="n">
        <v>6351.4</v>
      </c>
      <c r="G30" t="n">
        <v>60</v>
      </c>
      <c r="H30" s="5" t="n"/>
    </row>
    <row r="31">
      <c r="A31" t="inlineStr">
        <is>
          <t>IA-00030</t>
        </is>
      </c>
      <c r="B31" t="inlineStr">
        <is>
          <t>Brand licence (2020)</t>
        </is>
      </c>
      <c r="C31" t="inlineStr">
        <is>
          <t>Trademarks and other rights</t>
        </is>
      </c>
      <c r="D31" t="inlineStr">
        <is>
          <t>CC-400</t>
        </is>
      </c>
      <c r="E31" s="5" t="n">
        <v>44067</v>
      </c>
      <c r="F31" t="n">
        <v>35950.61</v>
      </c>
      <c r="G31" t="n">
        <v>120</v>
      </c>
      <c r="H31" s="5" t="n"/>
    </row>
    <row r="32">
      <c r="A32" t="inlineStr">
        <is>
          <t>IA-00031</t>
        </is>
      </c>
      <c r="B32" t="inlineStr">
        <is>
          <t>Analytics suite licence (2023)</t>
        </is>
      </c>
      <c r="C32" t="inlineStr">
        <is>
          <t>Software licences</t>
        </is>
      </c>
      <c r="D32" t="inlineStr">
        <is>
          <t>CC-500</t>
        </is>
      </c>
      <c r="E32" s="5" t="n">
        <v>45170</v>
      </c>
      <c r="F32" t="n">
        <v>34569.82</v>
      </c>
      <c r="G32" t="n">
        <v>36</v>
      </c>
      <c r="H32" s="5" t="n"/>
    </row>
    <row r="33">
      <c r="A33" t="inlineStr">
        <is>
          <t>IA-00032</t>
        </is>
      </c>
      <c r="B33" t="inlineStr">
        <is>
          <t>Billing engine module (2019)</t>
        </is>
      </c>
      <c r="C33" t="inlineStr">
        <is>
          <t>Capitalised development</t>
        </is>
      </c>
      <c r="D33" t="inlineStr">
        <is>
          <t>CC-100</t>
        </is>
      </c>
      <c r="E33" s="5" t="n">
        <v>43803</v>
      </c>
      <c r="F33" t="n">
        <v>710323.9</v>
      </c>
      <c r="G33" t="n">
        <v>48</v>
      </c>
      <c r="H33" s="5" t="n"/>
    </row>
    <row r="34">
      <c r="A34" t="inlineStr">
        <is>
          <t>IA-00033</t>
        </is>
      </c>
      <c r="B34" t="inlineStr">
        <is>
          <t>Order management feature (2018)</t>
        </is>
      </c>
      <c r="C34" t="inlineStr">
        <is>
          <t>Capitalised development</t>
        </is>
      </c>
      <c r="D34" t="inlineStr">
        <is>
          <t>CC-400</t>
        </is>
      </c>
      <c r="E34" s="5" t="n">
        <v>43150</v>
      </c>
      <c r="F34" t="n">
        <v>70661.69</v>
      </c>
      <c r="G34" t="n">
        <v>60</v>
      </c>
      <c r="H34" s="5" t="n"/>
    </row>
    <row r="35">
      <c r="A35" t="inlineStr">
        <is>
          <t>IA-00034</t>
        </is>
      </c>
      <c r="B35" t="inlineStr">
        <is>
          <t>Analytics suite licence (2022)</t>
        </is>
      </c>
      <c r="C35" t="inlineStr">
        <is>
          <t>Software licences</t>
        </is>
      </c>
      <c r="D35" t="inlineStr">
        <is>
          <t>CC-400</t>
        </is>
      </c>
      <c r="E35" s="5" t="n">
        <v>44784</v>
      </c>
      <c r="F35" t="n">
        <v>219994.3</v>
      </c>
      <c r="G35" t="n">
        <v>36</v>
      </c>
      <c r="H35" s="5" t="n"/>
    </row>
    <row r="36">
      <c r="A36" t="inlineStr">
        <is>
          <t>IA-00035</t>
        </is>
      </c>
      <c r="B36" t="inlineStr">
        <is>
          <t>Billing engine module (2016)</t>
        </is>
      </c>
      <c r="C36" t="inlineStr">
        <is>
          <t>Capitalised development</t>
        </is>
      </c>
      <c r="D36" t="inlineStr">
        <is>
          <t>CC-200</t>
        </is>
      </c>
      <c r="E36" s="5" t="n">
        <v>42687</v>
      </c>
      <c r="F36" t="n">
        <v>258455.47</v>
      </c>
      <c r="G36" t="n">
        <v>36</v>
      </c>
      <c r="H36" s="5" t="n"/>
    </row>
    <row r="37">
      <c r="A37" t="inlineStr">
        <is>
          <t>IA-00036</t>
        </is>
      </c>
      <c r="B37" t="inlineStr">
        <is>
          <t>Mobile app release (2022)</t>
        </is>
      </c>
      <c r="C37" t="inlineStr">
        <is>
          <t>Capitalised development</t>
        </is>
      </c>
      <c r="D37" t="inlineStr">
        <is>
          <t>CC-400</t>
        </is>
      </c>
      <c r="E37" s="5" t="n">
        <v>44615</v>
      </c>
      <c r="F37" t="n">
        <v>30140.38</v>
      </c>
      <c r="G37" t="n">
        <v>60</v>
      </c>
      <c r="H37" s="5" t="n"/>
    </row>
    <row r="38">
      <c r="A38" t="inlineStr">
        <is>
          <t>IA-00037</t>
        </is>
      </c>
      <c r="B38" t="inlineStr">
        <is>
          <t>Analytics suite licence (2016)</t>
        </is>
      </c>
      <c r="C38" t="inlineStr">
        <is>
          <t>Software licences</t>
        </is>
      </c>
      <c r="D38" t="inlineStr">
        <is>
          <t>CC-300</t>
        </is>
      </c>
      <c r="E38" s="5" t="n">
        <v>42479</v>
      </c>
      <c r="F38" t="n">
        <v>47817.62</v>
      </c>
      <c r="G38" t="n">
        <v>36</v>
      </c>
      <c r="H38" s="5" t="n"/>
    </row>
    <row r="39">
      <c r="A39" t="inlineStr">
        <is>
          <t>IA-00038</t>
        </is>
      </c>
      <c r="B39" t="inlineStr">
        <is>
          <t>Content distribution right (2018)</t>
        </is>
      </c>
      <c r="C39" t="inlineStr">
        <is>
          <t>Usage rights</t>
        </is>
      </c>
      <c r="D39" t="inlineStr">
        <is>
          <t>CC-400</t>
        </is>
      </c>
      <c r="E39" s="5" t="n">
        <v>43296</v>
      </c>
      <c r="F39" t="n">
        <v>2079301.63</v>
      </c>
      <c r="G39" t="n">
        <v>84</v>
      </c>
      <c r="H39" s="5" t="n"/>
    </row>
    <row r="40">
      <c r="A40" t="inlineStr">
        <is>
          <t>IA-00039</t>
        </is>
      </c>
      <c r="B40" t="inlineStr">
        <is>
          <t>Self-care portal release (2018)</t>
        </is>
      </c>
      <c r="C40" t="inlineStr">
        <is>
          <t>Capitalised development</t>
        </is>
      </c>
      <c r="D40" t="inlineStr">
        <is>
          <t>CC-100</t>
        </is>
      </c>
      <c r="E40" s="5" t="n">
        <v>43117</v>
      </c>
      <c r="F40" t="n">
        <v>705519.37</v>
      </c>
      <c r="G40" t="n">
        <v>48</v>
      </c>
      <c r="H40" s="5" t="n"/>
    </row>
    <row r="41">
      <c r="A41" t="inlineStr">
        <is>
          <t>IA-00040</t>
        </is>
      </c>
      <c r="B41" t="inlineStr">
        <is>
          <t>ERP licence (2023)</t>
        </is>
      </c>
      <c r="C41" t="inlineStr">
        <is>
          <t>Software licences</t>
        </is>
      </c>
      <c r="D41" t="inlineStr">
        <is>
          <t>CC-100</t>
        </is>
      </c>
      <c r="E41" s="5" t="n">
        <v>45269</v>
      </c>
      <c r="F41" t="n">
        <v>215627.64</v>
      </c>
      <c r="G41" t="n">
        <v>60</v>
      </c>
      <c r="H41" s="5" t="n"/>
    </row>
    <row r="42">
      <c r="A42" t="inlineStr">
        <is>
          <t>IA-00041</t>
        </is>
      </c>
      <c r="B42" t="inlineStr">
        <is>
          <t>Domain portfolio (2023)</t>
        </is>
      </c>
      <c r="C42" t="inlineStr">
        <is>
          <t>Trademarks and other rights</t>
        </is>
      </c>
      <c r="D42" t="inlineStr">
        <is>
          <t>CC-200</t>
        </is>
      </c>
      <c r="E42" s="5" t="n">
        <v>44980</v>
      </c>
      <c r="F42" t="n">
        <v>67801.96000000001</v>
      </c>
      <c r="G42" t="n">
        <v>60</v>
      </c>
      <c r="H42" s="5" t="n"/>
    </row>
    <row r="43">
      <c r="A43" t="inlineStr">
        <is>
          <t>IA-00042</t>
        </is>
      </c>
      <c r="B43" t="inlineStr">
        <is>
          <t>Integration layer (2018)</t>
        </is>
      </c>
      <c r="C43" t="inlineStr">
        <is>
          <t>Capitalised development</t>
        </is>
      </c>
      <c r="D43" t="inlineStr">
        <is>
          <t>CC-500</t>
        </is>
      </c>
      <c r="E43" s="5" t="n">
        <v>43461</v>
      </c>
      <c r="F43" t="n">
        <v>28655.2</v>
      </c>
      <c r="G43" t="n">
        <v>60</v>
      </c>
      <c r="H43" s="5" t="n"/>
    </row>
    <row r="44">
      <c r="A44" t="inlineStr">
        <is>
          <t>IA-00043</t>
        </is>
      </c>
      <c r="B44" t="inlineStr">
        <is>
          <t>ERP licence (2023)</t>
        </is>
      </c>
      <c r="C44" t="inlineStr">
        <is>
          <t>Software licences</t>
        </is>
      </c>
      <c r="D44" t="inlineStr">
        <is>
          <t>CC-100</t>
        </is>
      </c>
      <c r="E44" s="5" t="n">
        <v>45107</v>
      </c>
      <c r="F44" t="n">
        <v>11749.7</v>
      </c>
      <c r="G44" t="n">
        <v>36</v>
      </c>
      <c r="H44" s="5" t="n"/>
    </row>
    <row r="45">
      <c r="A45" t="inlineStr">
        <is>
          <t>IA-00044</t>
        </is>
      </c>
      <c r="B45" t="inlineStr">
        <is>
          <t>Monitoring tool licence (2017)</t>
        </is>
      </c>
      <c r="C45" t="inlineStr">
        <is>
          <t>Software licences</t>
        </is>
      </c>
      <c r="D45" t="inlineStr">
        <is>
          <t>CC-500</t>
        </is>
      </c>
      <c r="E45" s="5" t="n">
        <v>42893</v>
      </c>
      <c r="F45" t="n">
        <v>58353.4</v>
      </c>
      <c r="G45" t="n">
        <v>60</v>
      </c>
      <c r="H45" s="5" t="n"/>
    </row>
    <row r="46">
      <c r="A46" t="inlineStr">
        <is>
          <t>IA-00045</t>
        </is>
      </c>
      <c r="B46" t="inlineStr">
        <is>
          <t>Database licence (2018)</t>
        </is>
      </c>
      <c r="C46" t="inlineStr">
        <is>
          <t>Software licences</t>
        </is>
      </c>
      <c r="D46" t="inlineStr">
        <is>
          <t>CC-600</t>
        </is>
      </c>
      <c r="E46" s="5" t="n">
        <v>43276</v>
      </c>
      <c r="F46" t="n">
        <v>129355.96</v>
      </c>
      <c r="G46" t="n">
        <v>48</v>
      </c>
      <c r="H46" s="5" t="n">
        <v>45255</v>
      </c>
    </row>
    <row r="47">
      <c r="A47" t="inlineStr">
        <is>
          <t>IA-00046</t>
        </is>
      </c>
      <c r="B47" t="inlineStr">
        <is>
          <t>Analytics suite licence (2016)</t>
        </is>
      </c>
      <c r="C47" t="inlineStr">
        <is>
          <t>Software licences</t>
        </is>
      </c>
      <c r="D47" t="inlineStr">
        <is>
          <t>CC-200</t>
        </is>
      </c>
      <c r="E47" s="5" t="n">
        <v>42410</v>
      </c>
      <c r="F47" t="n">
        <v>11170.02</v>
      </c>
      <c r="G47" t="n">
        <v>36</v>
      </c>
      <c r="H47" s="5" t="n"/>
    </row>
    <row r="48">
      <c r="A48" t="inlineStr">
        <is>
          <t>IA-00047</t>
        </is>
      </c>
      <c r="B48" t="inlineStr">
        <is>
          <t>Reporting platform (2016)</t>
        </is>
      </c>
      <c r="C48" t="inlineStr">
        <is>
          <t>Capitalised development</t>
        </is>
      </c>
      <c r="D48" t="inlineStr">
        <is>
          <t>CC-500</t>
        </is>
      </c>
      <c r="E48" s="5" t="n">
        <v>42725</v>
      </c>
      <c r="F48" t="n">
        <v>137436.15</v>
      </c>
      <c r="G48" t="n">
        <v>60</v>
      </c>
      <c r="H48" s="5" t="n"/>
    </row>
    <row r="49">
      <c r="A49" t="inlineStr">
        <is>
          <t>IA-00048</t>
        </is>
      </c>
      <c r="B49" t="inlineStr">
        <is>
          <t>Security software licence (2022)</t>
        </is>
      </c>
      <c r="C49" t="inlineStr">
        <is>
          <t>Software licences</t>
        </is>
      </c>
      <c r="D49" t="inlineStr">
        <is>
          <t>CC-100</t>
        </is>
      </c>
      <c r="E49" s="5" t="n">
        <v>44719</v>
      </c>
      <c r="F49" t="n">
        <v>98036.17999999999</v>
      </c>
      <c r="G49" t="n">
        <v>60</v>
      </c>
      <c r="H49" s="5" t="n"/>
    </row>
    <row r="50">
      <c r="A50" t="inlineStr">
        <is>
          <t>IA-00049</t>
        </is>
      </c>
      <c r="B50" t="inlineStr">
        <is>
          <t>ERP licence (2016)</t>
        </is>
      </c>
      <c r="C50" t="inlineStr">
        <is>
          <t>Software licences</t>
        </is>
      </c>
      <c r="D50" t="inlineStr">
        <is>
          <t>CC-300</t>
        </is>
      </c>
      <c r="E50" s="5" t="n">
        <v>42731</v>
      </c>
      <c r="F50" t="n">
        <v>253159.33</v>
      </c>
      <c r="G50" t="n">
        <v>60</v>
      </c>
      <c r="H50" s="5" t="n"/>
    </row>
    <row r="51">
      <c r="A51" t="inlineStr">
        <is>
          <t>IA-00050</t>
        </is>
      </c>
      <c r="B51" t="inlineStr">
        <is>
          <t>Data warehouse build (2021)</t>
        </is>
      </c>
      <c r="C51" t="inlineStr">
        <is>
          <t>Capitalised development</t>
        </is>
      </c>
      <c r="D51" t="inlineStr">
        <is>
          <t>CC-400</t>
        </is>
      </c>
      <c r="E51" s="5" t="n">
        <v>44306</v>
      </c>
      <c r="F51" t="n">
        <v>760113.28</v>
      </c>
      <c r="G51" t="n">
        <v>36</v>
      </c>
      <c r="H51" s="5" t="n"/>
    </row>
    <row r="52">
      <c r="A52" t="inlineStr">
        <is>
          <t>IA-00051</t>
        </is>
      </c>
      <c r="B52" t="inlineStr">
        <is>
          <t>Brand licence (2016)</t>
        </is>
      </c>
      <c r="C52" t="inlineStr">
        <is>
          <t>Trademarks and other rights</t>
        </is>
      </c>
      <c r="D52" t="inlineStr">
        <is>
          <t>CC-400</t>
        </is>
      </c>
      <c r="E52" s="5" t="n">
        <v>42442</v>
      </c>
      <c r="F52" t="n">
        <v>77528.36</v>
      </c>
      <c r="G52" t="n">
        <v>120</v>
      </c>
      <c r="H52" s="5" t="n"/>
    </row>
    <row r="53">
      <c r="A53" t="inlineStr">
        <is>
          <t>IA-00052</t>
        </is>
      </c>
      <c r="B53" t="inlineStr">
        <is>
          <t>ERP licence (2019)</t>
        </is>
      </c>
      <c r="C53" t="inlineStr">
        <is>
          <t>Software licences</t>
        </is>
      </c>
      <c r="D53" t="inlineStr">
        <is>
          <t>CC-100</t>
        </is>
      </c>
      <c r="E53" s="5" t="n">
        <v>43594</v>
      </c>
      <c r="F53" t="n">
        <v>300947.09</v>
      </c>
      <c r="G53" t="n">
        <v>48</v>
      </c>
      <c r="H53" s="5" t="n"/>
    </row>
    <row r="54">
      <c r="A54" t="inlineStr">
        <is>
          <t>IA-00053</t>
        </is>
      </c>
      <c r="B54" t="inlineStr">
        <is>
          <t>Patent licence (2022)</t>
        </is>
      </c>
      <c r="C54" t="inlineStr">
        <is>
          <t>Trademarks and other rights</t>
        </is>
      </c>
      <c r="D54" t="inlineStr">
        <is>
          <t>CC-500</t>
        </is>
      </c>
      <c r="E54" s="5" t="n">
        <v>44720</v>
      </c>
      <c r="F54" t="n">
        <v>56075.53</v>
      </c>
      <c r="G54" t="n">
        <v>120</v>
      </c>
      <c r="H54" s="5" t="n"/>
    </row>
    <row r="55">
      <c r="A55" t="inlineStr">
        <is>
          <t>IA-00054</t>
        </is>
      </c>
      <c r="B55" t="inlineStr">
        <is>
          <t>ERP licence (2022)</t>
        </is>
      </c>
      <c r="C55" t="inlineStr">
        <is>
          <t>Software licences</t>
        </is>
      </c>
      <c r="D55" t="inlineStr">
        <is>
          <t>CC-300</t>
        </is>
      </c>
      <c r="E55" s="5" t="n">
        <v>44793</v>
      </c>
      <c r="F55" t="n">
        <v>141086.41</v>
      </c>
      <c r="G55" t="n">
        <v>36</v>
      </c>
      <c r="H55" s="5" t="n"/>
    </row>
    <row r="56">
      <c r="A56" t="inlineStr">
        <is>
          <t>IA-00055</t>
        </is>
      </c>
      <c r="B56" t="inlineStr">
        <is>
          <t>Integration layer (2020)</t>
        </is>
      </c>
      <c r="C56" t="inlineStr">
        <is>
          <t>Capitalised development</t>
        </is>
      </c>
      <c r="D56" t="inlineStr">
        <is>
          <t>CC-400</t>
        </is>
      </c>
      <c r="E56" s="5" t="n">
        <v>44140</v>
      </c>
      <c r="F56" t="n">
        <v>543984.96</v>
      </c>
      <c r="G56" t="n">
        <v>36</v>
      </c>
      <c r="H56" s="5" t="n"/>
    </row>
    <row r="57">
      <c r="A57" t="inlineStr">
        <is>
          <t>IA-00056</t>
        </is>
      </c>
      <c r="B57" t="inlineStr">
        <is>
          <t>Database licence (2019)</t>
        </is>
      </c>
      <c r="C57" t="inlineStr">
        <is>
          <t>Software licences</t>
        </is>
      </c>
      <c r="D57" t="inlineStr">
        <is>
          <t>CC-600</t>
        </is>
      </c>
      <c r="E57" s="5" t="n">
        <v>43614</v>
      </c>
      <c r="F57" t="n">
        <v>73810.00999999999</v>
      </c>
      <c r="G57" t="n">
        <v>60</v>
      </c>
      <c r="H57" s="5" t="n"/>
    </row>
    <row r="58">
      <c r="A58" t="inlineStr">
        <is>
          <t>IA-00057</t>
        </is>
      </c>
      <c r="B58" t="inlineStr">
        <is>
          <t>Reporting platform (2017)</t>
        </is>
      </c>
      <c r="C58" t="inlineStr">
        <is>
          <t>Capitalised development</t>
        </is>
      </c>
      <c r="D58" t="inlineStr">
        <is>
          <t>CC-500</t>
        </is>
      </c>
      <c r="E58" s="5" t="n">
        <v>43094</v>
      </c>
      <c r="F58" t="n">
        <v>49236.05</v>
      </c>
      <c r="G58" t="n">
        <v>60</v>
      </c>
      <c r="H58" s="5" t="n"/>
    </row>
    <row r="59">
      <c r="A59" t="inlineStr">
        <is>
          <t>IA-00058</t>
        </is>
      </c>
      <c r="B59" t="inlineStr">
        <is>
          <t>Monitoring tool licence (2016)</t>
        </is>
      </c>
      <c r="C59" t="inlineStr">
        <is>
          <t>Software licences</t>
        </is>
      </c>
      <c r="D59" t="inlineStr">
        <is>
          <t>CC-300</t>
        </is>
      </c>
      <c r="E59" s="5" t="n">
        <v>42564</v>
      </c>
      <c r="F59" t="n">
        <v>57076.19</v>
      </c>
      <c r="G59" t="n">
        <v>36</v>
      </c>
      <c r="H59" s="5" t="n"/>
    </row>
    <row r="60">
      <c r="A60" t="inlineStr">
        <is>
          <t>IA-00059</t>
        </is>
      </c>
      <c r="B60" t="inlineStr">
        <is>
          <t>Content distribution right (2018)</t>
        </is>
      </c>
      <c r="C60" t="inlineStr">
        <is>
          <t>Usage rights</t>
        </is>
      </c>
      <c r="D60" t="inlineStr">
        <is>
          <t>CC-600</t>
        </is>
      </c>
      <c r="E60" s="5" t="n">
        <v>43276</v>
      </c>
      <c r="F60" t="n">
        <v>87781.72</v>
      </c>
      <c r="G60" t="n">
        <v>120</v>
      </c>
      <c r="H60" s="5" t="n"/>
    </row>
    <row r="61">
      <c r="A61" t="inlineStr">
        <is>
          <t>IA-00060</t>
        </is>
      </c>
      <c r="B61" t="inlineStr">
        <is>
          <t>CRM licence (2017)</t>
        </is>
      </c>
      <c r="C61" t="inlineStr">
        <is>
          <t>Software licences</t>
        </is>
      </c>
      <c r="D61" t="inlineStr">
        <is>
          <t>CC-400</t>
        </is>
      </c>
      <c r="E61" s="5" t="n">
        <v>42818</v>
      </c>
      <c r="F61" t="n">
        <v>6704.13</v>
      </c>
      <c r="G61" t="n">
        <v>36</v>
      </c>
      <c r="H61" s="5" t="n"/>
    </row>
    <row r="62">
      <c r="A62" t="inlineStr">
        <is>
          <t>IA-00061</t>
        </is>
      </c>
      <c r="B62" t="inlineStr">
        <is>
          <t>Analytics suite licence (2017)</t>
        </is>
      </c>
      <c r="C62" t="inlineStr">
        <is>
          <t>Software licences</t>
        </is>
      </c>
      <c r="D62" t="inlineStr">
        <is>
          <t>CC-400</t>
        </is>
      </c>
      <c r="E62" s="5" t="n">
        <v>42880</v>
      </c>
      <c r="F62" t="n">
        <v>5078.41</v>
      </c>
      <c r="G62" t="n">
        <v>48</v>
      </c>
      <c r="H62" s="5" t="n"/>
    </row>
    <row r="63">
      <c r="A63" t="inlineStr">
        <is>
          <t>IA-00062</t>
        </is>
      </c>
      <c r="B63" t="inlineStr">
        <is>
          <t>Security software licence (2018)</t>
        </is>
      </c>
      <c r="C63" t="inlineStr">
        <is>
          <t>Software licences</t>
        </is>
      </c>
      <c r="D63" t="inlineStr">
        <is>
          <t>CC-500</t>
        </is>
      </c>
      <c r="E63" s="5" t="n">
        <v>43299</v>
      </c>
      <c r="F63" t="n">
        <v>38181.59</v>
      </c>
      <c r="G63" t="n">
        <v>60</v>
      </c>
      <c r="H63" s="5" t="n"/>
    </row>
    <row r="64">
      <c r="A64" t="inlineStr">
        <is>
          <t>IA-00063</t>
        </is>
      </c>
      <c r="B64" t="inlineStr">
        <is>
          <t>Content rights package (2016)</t>
        </is>
      </c>
      <c r="C64" t="inlineStr">
        <is>
          <t>Trademarks and other rights</t>
        </is>
      </c>
      <c r="D64" t="inlineStr">
        <is>
          <t>CC-200</t>
        </is>
      </c>
      <c r="E64" s="5" t="n">
        <v>42497</v>
      </c>
      <c r="F64" t="n">
        <v>19533.11</v>
      </c>
      <c r="G64" t="n">
        <v>60</v>
      </c>
      <c r="H64" s="5" t="n"/>
    </row>
    <row r="65">
      <c r="A65" t="inlineStr">
        <is>
          <t>IA-00064</t>
        </is>
      </c>
      <c r="B65" t="inlineStr">
        <is>
          <t>Self-care portal release (2019)</t>
        </is>
      </c>
      <c r="C65" t="inlineStr">
        <is>
          <t>Capitalised development</t>
        </is>
      </c>
      <c r="D65" t="inlineStr">
        <is>
          <t>CC-100</t>
        </is>
      </c>
      <c r="E65" s="5" t="n">
        <v>43586</v>
      </c>
      <c r="F65" t="n">
        <v>24124.46</v>
      </c>
      <c r="G65" t="n">
        <v>48</v>
      </c>
      <c r="H65" s="5" t="n"/>
    </row>
    <row r="66">
      <c r="A66" t="inlineStr">
        <is>
          <t>IA-00065</t>
        </is>
      </c>
      <c r="B66" t="inlineStr">
        <is>
          <t>Billing engine module (2016)</t>
        </is>
      </c>
      <c r="C66" t="inlineStr">
        <is>
          <t>Capitalised development</t>
        </is>
      </c>
      <c r="D66" t="inlineStr">
        <is>
          <t>CC-100</t>
        </is>
      </c>
      <c r="E66" s="5" t="n">
        <v>42667</v>
      </c>
      <c r="F66" t="n">
        <v>477434.84</v>
      </c>
      <c r="G66" t="n">
        <v>48</v>
      </c>
      <c r="H66" s="5" t="n"/>
    </row>
    <row r="67">
      <c r="A67" t="inlineStr">
        <is>
          <t>IA-00066</t>
        </is>
      </c>
      <c r="B67" t="inlineStr">
        <is>
          <t>Collaboration suite licence (2022)</t>
        </is>
      </c>
      <c r="C67" t="inlineStr">
        <is>
          <t>Software licences</t>
        </is>
      </c>
      <c r="D67" t="inlineStr">
        <is>
          <t>CC-200</t>
        </is>
      </c>
      <c r="E67" s="5" t="n">
        <v>44834</v>
      </c>
      <c r="F67" t="n">
        <v>226474.69</v>
      </c>
      <c r="G67" t="n">
        <v>60</v>
      </c>
      <c r="H67" s="5" t="n"/>
    </row>
    <row r="68">
      <c r="A68" t="inlineStr">
        <is>
          <t>IA-00067</t>
        </is>
      </c>
      <c r="B68" t="inlineStr">
        <is>
          <t>Site access right (2022)</t>
        </is>
      </c>
      <c r="C68" t="inlineStr">
        <is>
          <t>Usage rights</t>
        </is>
      </c>
      <c r="D68" t="inlineStr">
        <is>
          <t>CC-500</t>
        </is>
      </c>
      <c r="E68" s="5" t="n">
        <v>44647</v>
      </c>
      <c r="F68" t="n">
        <v>617347.6800000001</v>
      </c>
      <c r="G68" t="n">
        <v>120</v>
      </c>
      <c r="H68" s="5" t="n"/>
    </row>
    <row r="69">
      <c r="A69" t="inlineStr">
        <is>
          <t>IA-00068</t>
        </is>
      </c>
      <c r="B69" t="inlineStr">
        <is>
          <t>Billing engine module (2020)</t>
        </is>
      </c>
      <c r="C69" t="inlineStr">
        <is>
          <t>Capitalised development</t>
        </is>
      </c>
      <c r="D69" t="inlineStr">
        <is>
          <t>CC-600</t>
        </is>
      </c>
      <c r="E69" s="5" t="n">
        <v>43872</v>
      </c>
      <c r="F69" t="n">
        <v>523334.05</v>
      </c>
      <c r="G69" t="n">
        <v>48</v>
      </c>
      <c r="H69" s="5" t="n"/>
    </row>
    <row r="70">
      <c r="A70" t="inlineStr">
        <is>
          <t>IA-00069</t>
        </is>
      </c>
      <c r="B70" t="inlineStr">
        <is>
          <t>ERP licence (2021)</t>
        </is>
      </c>
      <c r="C70" t="inlineStr">
        <is>
          <t>Software licences</t>
        </is>
      </c>
      <c r="D70" t="inlineStr">
        <is>
          <t>CC-100</t>
        </is>
      </c>
      <c r="E70" s="5" t="n">
        <v>44238</v>
      </c>
      <c r="F70" t="n">
        <v>13168.43</v>
      </c>
      <c r="G70" t="n">
        <v>48</v>
      </c>
      <c r="H70" s="5" t="n"/>
    </row>
    <row r="71">
      <c r="A71" t="inlineStr">
        <is>
          <t>IA-00070</t>
        </is>
      </c>
      <c r="B71" t="inlineStr">
        <is>
          <t>Analytics suite licence (2017)</t>
        </is>
      </c>
      <c r="C71" t="inlineStr">
        <is>
          <t>Software licences</t>
        </is>
      </c>
      <c r="D71" t="inlineStr">
        <is>
          <t>CC-400</t>
        </is>
      </c>
      <c r="E71" s="5" t="n">
        <v>43049</v>
      </c>
      <c r="F71" t="n">
        <v>20690.5</v>
      </c>
      <c r="G71" t="n">
        <v>48</v>
      </c>
      <c r="H71" s="5" t="n"/>
    </row>
    <row r="72">
      <c r="A72" t="inlineStr">
        <is>
          <t>IA-00071</t>
        </is>
      </c>
      <c r="B72" t="inlineStr">
        <is>
          <t>CRM licence (2019)</t>
        </is>
      </c>
      <c r="C72" t="inlineStr">
        <is>
          <t>Software licences</t>
        </is>
      </c>
      <c r="D72" t="inlineStr">
        <is>
          <t>CC-200</t>
        </is>
      </c>
      <c r="E72" s="5" t="n">
        <v>43478</v>
      </c>
      <c r="F72" t="n">
        <v>85857.67</v>
      </c>
      <c r="G72" t="n">
        <v>60</v>
      </c>
      <c r="H72" s="5" t="n"/>
    </row>
    <row r="73">
      <c r="A73" t="inlineStr">
        <is>
          <t>IA-00072</t>
        </is>
      </c>
      <c r="B73" t="inlineStr">
        <is>
          <t>Content rights package (2019)</t>
        </is>
      </c>
      <c r="C73" t="inlineStr">
        <is>
          <t>Trademarks and other rights</t>
        </is>
      </c>
      <c r="D73" t="inlineStr">
        <is>
          <t>CC-300</t>
        </is>
      </c>
      <c r="E73" s="5" t="n">
        <v>43775</v>
      </c>
      <c r="F73" t="n">
        <v>33577.96</v>
      </c>
      <c r="G73" t="n">
        <v>120</v>
      </c>
      <c r="H73" s="5" t="n"/>
    </row>
    <row r="74">
      <c r="A74" t="inlineStr">
        <is>
          <t>IA-00073</t>
        </is>
      </c>
      <c r="B74" t="inlineStr">
        <is>
          <t>Site access right (2021)</t>
        </is>
      </c>
      <c r="C74" t="inlineStr">
        <is>
          <t>Usage rights</t>
        </is>
      </c>
      <c r="D74" t="inlineStr">
        <is>
          <t>CC-400</t>
        </is>
      </c>
      <c r="E74" s="5" t="n">
        <v>44276</v>
      </c>
      <c r="F74" t="n">
        <v>1163074.65</v>
      </c>
      <c r="G74" t="n">
        <v>180</v>
      </c>
      <c r="H74" s="5" t="n"/>
    </row>
    <row r="75">
      <c r="A75" t="inlineStr">
        <is>
          <t>IA-00074</t>
        </is>
      </c>
      <c r="B75" t="inlineStr">
        <is>
          <t>Security software licence (2021)</t>
        </is>
      </c>
      <c r="C75" t="inlineStr">
        <is>
          <t>Software licences</t>
        </is>
      </c>
      <c r="D75" t="inlineStr">
        <is>
          <t>CC-400</t>
        </is>
      </c>
      <c r="E75" s="5" t="n">
        <v>44517</v>
      </c>
      <c r="F75" t="n">
        <v>9888.52</v>
      </c>
      <c r="G75" t="n">
        <v>60</v>
      </c>
      <c r="H75" s="5" t="n"/>
    </row>
    <row r="76">
      <c r="A76" t="inlineStr">
        <is>
          <t>IA-00075</t>
        </is>
      </c>
      <c r="B76" t="inlineStr">
        <is>
          <t>Patent licence (2017)</t>
        </is>
      </c>
      <c r="C76" t="inlineStr">
        <is>
          <t>Trademarks and other rights</t>
        </is>
      </c>
      <c r="D76" t="inlineStr">
        <is>
          <t>CC-100</t>
        </is>
      </c>
      <c r="E76" s="5" t="n">
        <v>42756</v>
      </c>
      <c r="F76" t="n">
        <v>96443.55</v>
      </c>
      <c r="G76" t="n">
        <v>120</v>
      </c>
      <c r="H76" s="5" t="n"/>
    </row>
    <row r="77">
      <c r="A77" t="inlineStr">
        <is>
          <t>IA-00076</t>
        </is>
      </c>
      <c r="B77" t="inlineStr">
        <is>
          <t>Monitoring tool licence (2023)</t>
        </is>
      </c>
      <c r="C77" t="inlineStr">
        <is>
          <t>Software licences</t>
        </is>
      </c>
      <c r="D77" t="inlineStr">
        <is>
          <t>CC-600</t>
        </is>
      </c>
      <c r="E77" s="5" t="n">
        <v>45104</v>
      </c>
      <c r="F77" t="n">
        <v>7394.47</v>
      </c>
      <c r="G77" t="n">
        <v>60</v>
      </c>
      <c r="H77" s="5" t="n"/>
    </row>
    <row r="78">
      <c r="A78" t="inlineStr">
        <is>
          <t>IA-00077</t>
        </is>
      </c>
      <c r="B78" t="inlineStr">
        <is>
          <t>Content distribution right (2020)</t>
        </is>
      </c>
      <c r="C78" t="inlineStr">
        <is>
          <t>Usage rights</t>
        </is>
      </c>
      <c r="D78" t="inlineStr">
        <is>
          <t>CC-500</t>
        </is>
      </c>
      <c r="E78" s="5" t="n">
        <v>44104</v>
      </c>
      <c r="F78" t="n">
        <v>1068131.89</v>
      </c>
      <c r="G78" t="n">
        <v>180</v>
      </c>
      <c r="H78" s="5" t="n"/>
    </row>
    <row r="79">
      <c r="A79" t="inlineStr">
        <is>
          <t>IA-00078</t>
        </is>
      </c>
      <c r="B79" t="inlineStr">
        <is>
          <t>Collaboration suite licence (2020)</t>
        </is>
      </c>
      <c r="C79" t="inlineStr">
        <is>
          <t>Software licences</t>
        </is>
      </c>
      <c r="D79" t="inlineStr">
        <is>
          <t>CC-400</t>
        </is>
      </c>
      <c r="E79" s="5" t="n">
        <v>44094</v>
      </c>
      <c r="F79" t="n">
        <v>6118.52</v>
      </c>
      <c r="G79" t="n">
        <v>48</v>
      </c>
      <c r="H79" s="5" t="n"/>
    </row>
    <row r="80">
      <c r="A80" t="inlineStr">
        <is>
          <t>IA-00079</t>
        </is>
      </c>
      <c r="B80" t="inlineStr">
        <is>
          <t>Analytics suite licence (2020)</t>
        </is>
      </c>
      <c r="C80" t="inlineStr">
        <is>
          <t>Software licences</t>
        </is>
      </c>
      <c r="D80" t="inlineStr">
        <is>
          <t>CC-300</t>
        </is>
      </c>
      <c r="E80" s="5" t="n">
        <v>44020</v>
      </c>
      <c r="F80" t="n">
        <v>51727.88</v>
      </c>
      <c r="G80" t="n">
        <v>60</v>
      </c>
      <c r="H80" s="5" t="n"/>
    </row>
    <row r="81">
      <c r="A81" t="inlineStr">
        <is>
          <t>IA-00080</t>
        </is>
      </c>
      <c r="B81" t="inlineStr">
        <is>
          <t>Site access right (2022)</t>
        </is>
      </c>
      <c r="C81" t="inlineStr">
        <is>
          <t>Usage rights</t>
        </is>
      </c>
      <c r="D81" t="inlineStr">
        <is>
          <t>CC-200</t>
        </is>
      </c>
      <c r="E81" s="5" t="n">
        <v>44705</v>
      </c>
      <c r="F81" t="n">
        <v>342865.32</v>
      </c>
      <c r="G81" t="n">
        <v>120</v>
      </c>
      <c r="H81" s="5" t="n"/>
    </row>
    <row r="82">
      <c r="A82" t="inlineStr">
        <is>
          <t>IA-00081</t>
        </is>
      </c>
      <c r="B82" t="inlineStr">
        <is>
          <t>Patent licence (2016)</t>
        </is>
      </c>
      <c r="C82" t="inlineStr">
        <is>
          <t>Trademarks and other rights</t>
        </is>
      </c>
      <c r="D82" t="inlineStr">
        <is>
          <t>CC-100</t>
        </is>
      </c>
      <c r="E82" s="5" t="n">
        <v>42719</v>
      </c>
      <c r="F82" t="n">
        <v>15403.06</v>
      </c>
      <c r="G82" t="n">
        <v>60</v>
      </c>
      <c r="H82" s="5" t="n"/>
    </row>
    <row r="83">
      <c r="A83" t="inlineStr">
        <is>
          <t>IA-00082</t>
        </is>
      </c>
      <c r="B83" t="inlineStr">
        <is>
          <t>Security software licence (2022)</t>
        </is>
      </c>
      <c r="C83" t="inlineStr">
        <is>
          <t>Software licences</t>
        </is>
      </c>
      <c r="D83" t="inlineStr">
        <is>
          <t>CC-500</t>
        </is>
      </c>
      <c r="E83" s="5" t="n">
        <v>44632</v>
      </c>
      <c r="F83" t="n">
        <v>80463.11</v>
      </c>
      <c r="G83" t="n">
        <v>48</v>
      </c>
      <c r="H83" s="5" t="n"/>
    </row>
    <row r="84">
      <c r="A84" t="inlineStr">
        <is>
          <t>IA-00083</t>
        </is>
      </c>
      <c r="B84" t="inlineStr">
        <is>
          <t>Content rights package (2022)</t>
        </is>
      </c>
      <c r="C84" t="inlineStr">
        <is>
          <t>Trademarks and other rights</t>
        </is>
      </c>
      <c r="D84" t="inlineStr">
        <is>
          <t>CC-300</t>
        </is>
      </c>
      <c r="E84" s="5" t="n">
        <v>44598</v>
      </c>
      <c r="F84" t="n">
        <v>27127.71</v>
      </c>
      <c r="G84" t="n">
        <v>120</v>
      </c>
      <c r="H84" s="5" t="n"/>
    </row>
    <row r="85">
      <c r="A85" t="inlineStr">
        <is>
          <t>IA-00084</t>
        </is>
      </c>
      <c r="B85" t="inlineStr">
        <is>
          <t>Database licence (2017)</t>
        </is>
      </c>
      <c r="C85" t="inlineStr">
        <is>
          <t>Software licences</t>
        </is>
      </c>
      <c r="D85" t="inlineStr">
        <is>
          <t>CC-400</t>
        </is>
      </c>
      <c r="E85" s="5" t="n">
        <v>42801</v>
      </c>
      <c r="F85" t="n">
        <v>263043.19</v>
      </c>
      <c r="G85" t="n">
        <v>48</v>
      </c>
      <c r="H85" s="5" t="n"/>
    </row>
    <row r="86">
      <c r="A86" t="inlineStr">
        <is>
          <t>IA-00085</t>
        </is>
      </c>
      <c r="B86" t="inlineStr">
        <is>
          <t>Collaboration suite licence (2021)</t>
        </is>
      </c>
      <c r="C86" t="inlineStr">
        <is>
          <t>Software licences</t>
        </is>
      </c>
      <c r="D86" t="inlineStr">
        <is>
          <t>CC-600</t>
        </is>
      </c>
      <c r="E86" s="5" t="n">
        <v>44502</v>
      </c>
      <c r="F86" t="n">
        <v>47421.68</v>
      </c>
      <c r="G86" t="n">
        <v>48</v>
      </c>
      <c r="H86" s="5" t="n"/>
    </row>
    <row r="87">
      <c r="A87" t="inlineStr">
        <is>
          <t>IA-00086</t>
        </is>
      </c>
      <c r="B87" t="inlineStr">
        <is>
          <t>Integration layer (2019)</t>
        </is>
      </c>
      <c r="C87" t="inlineStr">
        <is>
          <t>Capitalised development</t>
        </is>
      </c>
      <c r="D87" t="inlineStr">
        <is>
          <t>CC-100</t>
        </is>
      </c>
      <c r="E87" s="5" t="n">
        <v>43469</v>
      </c>
      <c r="F87" t="n">
        <v>855345.5699999999</v>
      </c>
      <c r="G87" t="n">
        <v>60</v>
      </c>
      <c r="H87" s="5" t="n"/>
    </row>
    <row r="88">
      <c r="A88" t="inlineStr">
        <is>
          <t>IA-00087</t>
        </is>
      </c>
      <c r="B88" t="inlineStr">
        <is>
          <t>Content rights package (2016)</t>
        </is>
      </c>
      <c r="C88" t="inlineStr">
        <is>
          <t>Trademarks and other rights</t>
        </is>
      </c>
      <c r="D88" t="inlineStr">
        <is>
          <t>CC-400</t>
        </is>
      </c>
      <c r="E88" s="5" t="n">
        <v>42716</v>
      </c>
      <c r="F88" t="n">
        <v>230465.53</v>
      </c>
      <c r="G88" t="n">
        <v>60</v>
      </c>
      <c r="H88" s="5" t="n"/>
    </row>
    <row r="89">
      <c r="A89" t="inlineStr">
        <is>
          <t>IA-00088</t>
        </is>
      </c>
      <c r="B89" t="inlineStr">
        <is>
          <t>Billing engine module (2021)</t>
        </is>
      </c>
      <c r="C89" t="inlineStr">
        <is>
          <t>Capitalised development</t>
        </is>
      </c>
      <c r="D89" t="inlineStr">
        <is>
          <t>CC-100</t>
        </is>
      </c>
      <c r="E89" s="5" t="n">
        <v>44374</v>
      </c>
      <c r="F89" t="n">
        <v>20958.92</v>
      </c>
      <c r="G89" t="n">
        <v>48</v>
      </c>
      <c r="H89" s="5" t="n"/>
    </row>
    <row r="90">
      <c r="A90" t="inlineStr">
        <is>
          <t>IA-00089</t>
        </is>
      </c>
      <c r="B90" t="inlineStr">
        <is>
          <t>Duct usage right (2018)</t>
        </is>
      </c>
      <c r="C90" t="inlineStr">
        <is>
          <t>Usage rights</t>
        </is>
      </c>
      <c r="D90" t="inlineStr">
        <is>
          <t>CC-300</t>
        </is>
      </c>
      <c r="E90" s="5" t="n">
        <v>43233</v>
      </c>
      <c r="F90" t="n">
        <v>300628.01</v>
      </c>
      <c r="G90" t="n">
        <v>60</v>
      </c>
      <c r="H90" s="5" t="n"/>
    </row>
    <row r="91">
      <c r="A91" t="inlineStr">
        <is>
          <t>IA-00090</t>
        </is>
      </c>
      <c r="B91" t="inlineStr">
        <is>
          <t>Domain portfolio (2022)</t>
        </is>
      </c>
      <c r="C91" t="inlineStr">
        <is>
          <t>Trademarks and other rights</t>
        </is>
      </c>
      <c r="D91" t="inlineStr">
        <is>
          <t>CC-300</t>
        </is>
      </c>
      <c r="E91" s="5" t="n">
        <v>44652</v>
      </c>
      <c r="F91" t="n">
        <v>15037.28</v>
      </c>
      <c r="G91" t="n">
        <v>120</v>
      </c>
      <c r="H91" s="5" t="n"/>
    </row>
    <row r="92">
      <c r="A92" t="inlineStr">
        <is>
          <t>IA-00091</t>
        </is>
      </c>
      <c r="B92" t="inlineStr">
        <is>
          <t>Brand licence (2018)</t>
        </is>
      </c>
      <c r="C92" t="inlineStr">
        <is>
          <t>Trademarks and other rights</t>
        </is>
      </c>
      <c r="D92" t="inlineStr">
        <is>
          <t>CC-100</t>
        </is>
      </c>
      <c r="E92" s="5" t="n">
        <v>43199</v>
      </c>
      <c r="F92" t="n">
        <v>219158.6</v>
      </c>
      <c r="G92" t="n">
        <v>120</v>
      </c>
      <c r="H92" s="5" t="n"/>
    </row>
    <row r="93">
      <c r="A93" t="inlineStr">
        <is>
          <t>IA-00092</t>
        </is>
      </c>
      <c r="B93" t="inlineStr">
        <is>
          <t>Reporting platform (2021)</t>
        </is>
      </c>
      <c r="C93" t="inlineStr">
        <is>
          <t>Capitalised development</t>
        </is>
      </c>
      <c r="D93" t="inlineStr">
        <is>
          <t>CC-500</t>
        </is>
      </c>
      <c r="E93" s="5" t="n">
        <v>44269</v>
      </c>
      <c r="F93" t="n">
        <v>28219.4</v>
      </c>
      <c r="G93" t="n">
        <v>60</v>
      </c>
      <c r="H93" s="5" t="n"/>
    </row>
    <row r="94">
      <c r="A94" t="inlineStr">
        <is>
          <t>IA-00093</t>
        </is>
      </c>
      <c r="B94" t="inlineStr">
        <is>
          <t>Monitoring tool licence (2017)</t>
        </is>
      </c>
      <c r="C94" t="inlineStr">
        <is>
          <t>Software licences</t>
        </is>
      </c>
      <c r="D94" t="inlineStr">
        <is>
          <t>CC-500</t>
        </is>
      </c>
      <c r="E94" s="5" t="n">
        <v>43073</v>
      </c>
      <c r="F94" t="n">
        <v>7582.45</v>
      </c>
      <c r="G94" t="n">
        <v>60</v>
      </c>
      <c r="H94" s="5" t="n"/>
    </row>
    <row r="95">
      <c r="A95" t="inlineStr">
        <is>
          <t>IA-00094</t>
        </is>
      </c>
      <c r="B95" t="inlineStr">
        <is>
          <t>Brand licence (2021)</t>
        </is>
      </c>
      <c r="C95" t="inlineStr">
        <is>
          <t>Trademarks and other rights</t>
        </is>
      </c>
      <c r="D95" t="inlineStr">
        <is>
          <t>CC-100</t>
        </is>
      </c>
      <c r="E95" s="5" t="n">
        <v>44287</v>
      </c>
      <c r="F95" t="n">
        <v>11427.07</v>
      </c>
      <c r="G95" t="n">
        <v>60</v>
      </c>
      <c r="H95" s="5" t="n"/>
    </row>
    <row r="96">
      <c r="A96" t="inlineStr">
        <is>
          <t>IA-00095</t>
        </is>
      </c>
      <c r="B96" t="inlineStr">
        <is>
          <t>Collaboration suite licence (2020)</t>
        </is>
      </c>
      <c r="C96" t="inlineStr">
        <is>
          <t>Software licences</t>
        </is>
      </c>
      <c r="D96" t="inlineStr">
        <is>
          <t>CC-200</t>
        </is>
      </c>
      <c r="E96" s="5" t="n">
        <v>44140</v>
      </c>
      <c r="F96" t="n">
        <v>144060.24</v>
      </c>
      <c r="G96" t="n">
        <v>36</v>
      </c>
      <c r="H96" s="5" t="n"/>
    </row>
    <row r="97">
      <c r="A97" t="inlineStr">
        <is>
          <t>IA-00096</t>
        </is>
      </c>
      <c r="B97" t="inlineStr">
        <is>
          <t>Monitoring tool licence (2022)</t>
        </is>
      </c>
      <c r="C97" t="inlineStr">
        <is>
          <t>Software licences</t>
        </is>
      </c>
      <c r="D97" t="inlineStr">
        <is>
          <t>CC-100</t>
        </is>
      </c>
      <c r="E97" s="5" t="n">
        <v>44710</v>
      </c>
      <c r="F97" t="n">
        <v>253423.09</v>
      </c>
      <c r="G97" t="n">
        <v>60</v>
      </c>
      <c r="H97" s="5" t="n"/>
    </row>
    <row r="98">
      <c r="A98" t="inlineStr">
        <is>
          <t>IA-00097</t>
        </is>
      </c>
      <c r="B98" t="inlineStr">
        <is>
          <t>Order management feature (2022)</t>
        </is>
      </c>
      <c r="C98" t="inlineStr">
        <is>
          <t>Capitalised development</t>
        </is>
      </c>
      <c r="D98" t="inlineStr">
        <is>
          <t>CC-200</t>
        </is>
      </c>
      <c r="E98" s="5" t="n">
        <v>44818</v>
      </c>
      <c r="F98" t="n">
        <v>23302.83</v>
      </c>
      <c r="G98" t="n">
        <v>36</v>
      </c>
      <c r="H98" s="5" t="n"/>
    </row>
    <row r="99">
      <c r="A99" t="inlineStr">
        <is>
          <t>IA-00098</t>
        </is>
      </c>
      <c r="B99" t="inlineStr">
        <is>
          <t>Billing engine module (2021)</t>
        </is>
      </c>
      <c r="C99" t="inlineStr">
        <is>
          <t>Capitalised development</t>
        </is>
      </c>
      <c r="D99" t="inlineStr">
        <is>
          <t>CC-100</t>
        </is>
      </c>
      <c r="E99" s="5" t="n">
        <v>44547</v>
      </c>
      <c r="F99" t="n">
        <v>220076.39</v>
      </c>
      <c r="G99" t="n">
        <v>60</v>
      </c>
      <c r="H99" s="5" t="n"/>
    </row>
    <row r="100">
      <c r="A100" t="inlineStr">
        <is>
          <t>IA-00099</t>
        </is>
      </c>
      <c r="B100" t="inlineStr">
        <is>
          <t>ERP licence (2021)</t>
        </is>
      </c>
      <c r="C100" t="inlineStr">
        <is>
          <t>Software licences</t>
        </is>
      </c>
      <c r="D100" t="inlineStr">
        <is>
          <t>CC-200</t>
        </is>
      </c>
      <c r="E100" s="5" t="n">
        <v>44516</v>
      </c>
      <c r="F100" t="n">
        <v>9483.049999999999</v>
      </c>
      <c r="G100" t="n">
        <v>36</v>
      </c>
      <c r="H100" s="5" t="n"/>
    </row>
    <row r="101">
      <c r="A101" t="inlineStr">
        <is>
          <t>IA-00100</t>
        </is>
      </c>
      <c r="B101" t="inlineStr">
        <is>
          <t>Patent licence (2020)</t>
        </is>
      </c>
      <c r="C101" t="inlineStr">
        <is>
          <t>Trademarks and other rights</t>
        </is>
      </c>
      <c r="D101" t="inlineStr">
        <is>
          <t>CC-100</t>
        </is>
      </c>
      <c r="E101" s="5" t="n">
        <v>44156</v>
      </c>
      <c r="F101" t="n">
        <v>12226.8</v>
      </c>
      <c r="G101" t="n">
        <v>120</v>
      </c>
      <c r="H101" s="5" t="n"/>
    </row>
    <row r="102">
      <c r="A102" t="inlineStr">
        <is>
          <t>IA-00101</t>
        </is>
      </c>
      <c r="B102" t="inlineStr">
        <is>
          <t>Database licence (2023)</t>
        </is>
      </c>
      <c r="C102" t="inlineStr">
        <is>
          <t>Software licences</t>
        </is>
      </c>
      <c r="D102" t="inlineStr">
        <is>
          <t>CC-200</t>
        </is>
      </c>
      <c r="E102" s="5" t="n">
        <v>44953</v>
      </c>
      <c r="F102" t="n">
        <v>95513.92999999999</v>
      </c>
      <c r="G102" t="n">
        <v>48</v>
      </c>
      <c r="H102" s="5" t="n"/>
    </row>
    <row r="103">
      <c r="A103" t="inlineStr">
        <is>
          <t>IA-00102</t>
        </is>
      </c>
      <c r="B103" t="inlineStr">
        <is>
          <t>ERP licence (2023)</t>
        </is>
      </c>
      <c r="C103" t="inlineStr">
        <is>
          <t>Software licences</t>
        </is>
      </c>
      <c r="D103" t="inlineStr">
        <is>
          <t>CC-400</t>
        </is>
      </c>
      <c r="E103" s="5" t="n">
        <v>45233</v>
      </c>
      <c r="F103" t="n">
        <v>31087.69</v>
      </c>
      <c r="G103" t="n">
        <v>60</v>
      </c>
      <c r="H103" s="5" t="n"/>
    </row>
    <row r="104">
      <c r="A104" t="inlineStr">
        <is>
          <t>IA-00103</t>
        </is>
      </c>
      <c r="B104" t="inlineStr">
        <is>
          <t>Self-care portal release (2020)</t>
        </is>
      </c>
      <c r="C104" t="inlineStr">
        <is>
          <t>Capitalised development</t>
        </is>
      </c>
      <c r="D104" t="inlineStr">
        <is>
          <t>CC-600</t>
        </is>
      </c>
      <c r="E104" s="5" t="n">
        <v>44042</v>
      </c>
      <c r="F104" t="n">
        <v>34750.51</v>
      </c>
      <c r="G104" t="n">
        <v>48</v>
      </c>
      <c r="H104" s="5" t="n"/>
    </row>
    <row r="105">
      <c r="A105" t="inlineStr">
        <is>
          <t>IA-00104</t>
        </is>
      </c>
      <c r="B105" t="inlineStr">
        <is>
          <t>Data warehouse build (2021)</t>
        </is>
      </c>
      <c r="C105" t="inlineStr">
        <is>
          <t>Capitalised development</t>
        </is>
      </c>
      <c r="D105" t="inlineStr">
        <is>
          <t>CC-300</t>
        </is>
      </c>
      <c r="E105" s="5" t="n">
        <v>44414</v>
      </c>
      <c r="F105" t="n">
        <v>236782.92</v>
      </c>
      <c r="G105" t="n">
        <v>60</v>
      </c>
      <c r="H105" s="5" t="n"/>
    </row>
    <row r="106">
      <c r="A106" t="inlineStr">
        <is>
          <t>IA-00105</t>
        </is>
      </c>
      <c r="B106" t="inlineStr">
        <is>
          <t>Collaboration suite licence (2020)</t>
        </is>
      </c>
      <c r="C106" t="inlineStr">
        <is>
          <t>Software licences</t>
        </is>
      </c>
      <c r="D106" t="inlineStr">
        <is>
          <t>CC-300</t>
        </is>
      </c>
      <c r="E106" s="5" t="n">
        <v>43855</v>
      </c>
      <c r="F106" t="n">
        <v>24361.16</v>
      </c>
      <c r="G106" t="n">
        <v>36</v>
      </c>
      <c r="H106" s="5" t="n"/>
    </row>
    <row r="107">
      <c r="A107" t="inlineStr">
        <is>
          <t>IA-00106</t>
        </is>
      </c>
      <c r="B107" t="inlineStr">
        <is>
          <t>ERP licence (2018)</t>
        </is>
      </c>
      <c r="C107" t="inlineStr">
        <is>
          <t>Software licences</t>
        </is>
      </c>
      <c r="D107" t="inlineStr">
        <is>
          <t>CC-400</t>
        </is>
      </c>
      <c r="E107" s="5" t="n">
        <v>43182</v>
      </c>
      <c r="F107" t="n">
        <v>15624.24</v>
      </c>
      <c r="G107" t="n">
        <v>48</v>
      </c>
      <c r="H107" s="5" t="n"/>
    </row>
    <row r="108">
      <c r="A108" t="inlineStr">
        <is>
          <t>IA-00107</t>
        </is>
      </c>
      <c r="B108" t="inlineStr">
        <is>
          <t>Self-care portal release (2021)</t>
        </is>
      </c>
      <c r="C108" t="inlineStr">
        <is>
          <t>Capitalised development</t>
        </is>
      </c>
      <c r="D108" t="inlineStr">
        <is>
          <t>CC-300</t>
        </is>
      </c>
      <c r="E108" s="5" t="n">
        <v>44224</v>
      </c>
      <c r="F108" t="n">
        <v>95904.92999999999</v>
      </c>
      <c r="G108" t="n">
        <v>60</v>
      </c>
      <c r="H108" s="5" t="n"/>
    </row>
    <row r="109">
      <c r="A109" t="inlineStr">
        <is>
          <t>IA-00108</t>
        </is>
      </c>
      <c r="B109" t="inlineStr">
        <is>
          <t>Self-care portal release (2018)</t>
        </is>
      </c>
      <c r="C109" t="inlineStr">
        <is>
          <t>Capitalised development</t>
        </is>
      </c>
      <c r="D109" t="inlineStr">
        <is>
          <t>CC-200</t>
        </is>
      </c>
      <c r="E109" s="5" t="n">
        <v>43296</v>
      </c>
      <c r="F109" t="n">
        <v>22942.7</v>
      </c>
      <c r="G109" t="n">
        <v>48</v>
      </c>
      <c r="H109" s="5" t="n"/>
    </row>
    <row r="110">
      <c r="A110" t="inlineStr">
        <is>
          <t>IA-00109</t>
        </is>
      </c>
      <c r="B110" t="inlineStr">
        <is>
          <t>Data warehouse build (2017)</t>
        </is>
      </c>
      <c r="C110" t="inlineStr">
        <is>
          <t>Capitalised development</t>
        </is>
      </c>
      <c r="D110" t="inlineStr">
        <is>
          <t>CC-400</t>
        </is>
      </c>
      <c r="E110" s="5" t="n">
        <v>43029</v>
      </c>
      <c r="F110" t="n">
        <v>176776.53</v>
      </c>
      <c r="G110" t="n">
        <v>48</v>
      </c>
      <c r="H110" s="5" t="n"/>
    </row>
    <row r="111">
      <c r="A111" t="inlineStr">
        <is>
          <t>IA-00110</t>
        </is>
      </c>
      <c r="B111" t="inlineStr">
        <is>
          <t>Mobile app release (2021)</t>
        </is>
      </c>
      <c r="C111" t="inlineStr">
        <is>
          <t>Capitalised development</t>
        </is>
      </c>
      <c r="D111" t="inlineStr">
        <is>
          <t>CC-200</t>
        </is>
      </c>
      <c r="E111" s="5" t="n">
        <v>44276</v>
      </c>
      <c r="F111" t="n">
        <v>66649.85000000001</v>
      </c>
      <c r="G111" t="n">
        <v>60</v>
      </c>
      <c r="H111" s="5" t="n"/>
    </row>
    <row r="112">
      <c r="A112" t="inlineStr">
        <is>
          <t>IA-00111</t>
        </is>
      </c>
      <c r="B112" t="inlineStr">
        <is>
          <t>Order management feature (2019)</t>
        </is>
      </c>
      <c r="C112" t="inlineStr">
        <is>
          <t>Capitalised development</t>
        </is>
      </c>
      <c r="D112" t="inlineStr">
        <is>
          <t>CC-300</t>
        </is>
      </c>
      <c r="E112" s="5" t="n">
        <v>43630</v>
      </c>
      <c r="F112" t="n">
        <v>216751.28</v>
      </c>
      <c r="G112" t="n">
        <v>60</v>
      </c>
      <c r="H112" s="5" t="n"/>
    </row>
    <row r="113">
      <c r="A113" t="inlineStr">
        <is>
          <t>IA-00112</t>
        </is>
      </c>
      <c r="B113" t="inlineStr">
        <is>
          <t>Order management feature (2023)</t>
        </is>
      </c>
      <c r="C113" t="inlineStr">
        <is>
          <t>Capitalised development</t>
        </is>
      </c>
      <c r="D113" t="inlineStr">
        <is>
          <t>CC-600</t>
        </is>
      </c>
      <c r="E113" s="5" t="n">
        <v>44960</v>
      </c>
      <c r="F113" t="n">
        <v>666397.38</v>
      </c>
      <c r="G113" t="n">
        <v>48</v>
      </c>
      <c r="H113" s="5" t="n"/>
    </row>
    <row r="114">
      <c r="A114" t="inlineStr">
        <is>
          <t>IA-00113</t>
        </is>
      </c>
      <c r="B114" t="inlineStr">
        <is>
          <t>Order management feature (2022)</t>
        </is>
      </c>
      <c r="C114" t="inlineStr">
        <is>
          <t>Capitalised development</t>
        </is>
      </c>
      <c r="D114" t="inlineStr">
        <is>
          <t>CC-600</t>
        </is>
      </c>
      <c r="E114" s="5" t="n">
        <v>44707</v>
      </c>
      <c r="F114" t="n">
        <v>66203.94</v>
      </c>
      <c r="G114" t="n">
        <v>48</v>
      </c>
      <c r="H114" s="5" t="n"/>
    </row>
    <row r="115">
      <c r="A115" t="inlineStr">
        <is>
          <t>IA-00114</t>
        </is>
      </c>
      <c r="B115" t="inlineStr">
        <is>
          <t>Analytics suite licence (2016)</t>
        </is>
      </c>
      <c r="C115" t="inlineStr">
        <is>
          <t>Software licences</t>
        </is>
      </c>
      <c r="D115" t="inlineStr">
        <is>
          <t>CC-500</t>
        </is>
      </c>
      <c r="E115" s="5" t="n">
        <v>42580</v>
      </c>
      <c r="F115" t="n">
        <v>172670.28</v>
      </c>
      <c r="G115" t="n">
        <v>36</v>
      </c>
      <c r="H115" s="5" t="n"/>
    </row>
    <row r="116">
      <c r="A116" t="inlineStr">
        <is>
          <t>IA-00115</t>
        </is>
      </c>
      <c r="B116" t="inlineStr">
        <is>
          <t>Monitoring tool licence (2018)</t>
        </is>
      </c>
      <c r="C116" t="inlineStr">
        <is>
          <t>Software licences</t>
        </is>
      </c>
      <c r="D116" t="inlineStr">
        <is>
          <t>CC-200</t>
        </is>
      </c>
      <c r="E116" s="5" t="n">
        <v>43346</v>
      </c>
      <c r="F116" t="n">
        <v>8669.950000000001</v>
      </c>
      <c r="G116" t="n">
        <v>36</v>
      </c>
      <c r="H116" s="5" t="n"/>
    </row>
    <row r="117">
      <c r="A117" t="inlineStr">
        <is>
          <t>IA-00116</t>
        </is>
      </c>
      <c r="B117" t="inlineStr">
        <is>
          <t>Monitoring tool licence (2022)</t>
        </is>
      </c>
      <c r="C117" t="inlineStr">
        <is>
          <t>Software licences</t>
        </is>
      </c>
      <c r="D117" t="inlineStr">
        <is>
          <t>CC-300</t>
        </is>
      </c>
      <c r="E117" s="5" t="n">
        <v>44787</v>
      </c>
      <c r="F117" t="n">
        <v>184282.1</v>
      </c>
      <c r="G117" t="n">
        <v>48</v>
      </c>
      <c r="H117" s="5" t="n"/>
    </row>
    <row r="118">
      <c r="A118" t="inlineStr">
        <is>
          <t>IA-00117</t>
        </is>
      </c>
      <c r="B118" t="inlineStr">
        <is>
          <t>Analytics suite licence (2020)</t>
        </is>
      </c>
      <c r="C118" t="inlineStr">
        <is>
          <t>Software licences</t>
        </is>
      </c>
      <c r="D118" t="inlineStr">
        <is>
          <t>CC-300</t>
        </is>
      </c>
      <c r="E118" s="5" t="n">
        <v>44125</v>
      </c>
      <c r="F118" t="n">
        <v>6830.7</v>
      </c>
      <c r="G118" t="n">
        <v>48</v>
      </c>
      <c r="H118" s="5" t="n"/>
    </row>
    <row r="119">
      <c r="A119" t="inlineStr">
        <is>
          <t>IA-00118</t>
        </is>
      </c>
      <c r="B119" t="inlineStr">
        <is>
          <t>Content rights package (2022)</t>
        </is>
      </c>
      <c r="C119" t="inlineStr">
        <is>
          <t>Trademarks and other rights</t>
        </is>
      </c>
      <c r="D119" t="inlineStr">
        <is>
          <t>CC-500</t>
        </is>
      </c>
      <c r="E119" s="5" t="n">
        <v>44626</v>
      </c>
      <c r="F119" t="n">
        <v>31490.46</v>
      </c>
      <c r="G119" t="n">
        <v>120</v>
      </c>
      <c r="H119" s="5" t="n"/>
    </row>
    <row r="120">
      <c r="A120" t="inlineStr">
        <is>
          <t>IA-00119</t>
        </is>
      </c>
      <c r="B120" t="inlineStr">
        <is>
          <t>Data warehouse build (2019)</t>
        </is>
      </c>
      <c r="C120" t="inlineStr">
        <is>
          <t>Capitalised development</t>
        </is>
      </c>
      <c r="D120" t="inlineStr">
        <is>
          <t>CC-100</t>
        </is>
      </c>
      <c r="E120" s="5" t="n">
        <v>43503</v>
      </c>
      <c r="F120" t="n">
        <v>229379.77</v>
      </c>
      <c r="G120" t="n">
        <v>60</v>
      </c>
      <c r="H120" s="5" t="n"/>
    </row>
    <row r="121">
      <c r="A121" t="inlineStr">
        <is>
          <t>IA-00120</t>
        </is>
      </c>
      <c r="B121" t="inlineStr">
        <is>
          <t>Self-care portal release (2017)</t>
        </is>
      </c>
      <c r="C121" t="inlineStr">
        <is>
          <t>Capitalised development</t>
        </is>
      </c>
      <c r="D121" t="inlineStr">
        <is>
          <t>CC-300</t>
        </is>
      </c>
      <c r="E121" s="5" t="n">
        <v>42848</v>
      </c>
      <c r="F121" t="n">
        <v>37610.52</v>
      </c>
      <c r="G121" t="n">
        <v>60</v>
      </c>
      <c r="H121" s="5" t="n"/>
    </row>
    <row r="122">
      <c r="A122" t="inlineStr">
        <is>
          <t>IA-00121</t>
        </is>
      </c>
      <c r="B122" t="inlineStr">
        <is>
          <t>Content rights package (2020)</t>
        </is>
      </c>
      <c r="C122" t="inlineStr">
        <is>
          <t>Trademarks and other rights</t>
        </is>
      </c>
      <c r="D122" t="inlineStr">
        <is>
          <t>CC-600</t>
        </is>
      </c>
      <c r="E122" s="5" t="n">
        <v>43994</v>
      </c>
      <c r="F122" t="n">
        <v>220922.55</v>
      </c>
      <c r="G122" t="n">
        <v>120</v>
      </c>
      <c r="H122" s="5" t="n"/>
    </row>
    <row r="123">
      <c r="A123" t="inlineStr">
        <is>
          <t>IA-00122</t>
        </is>
      </c>
      <c r="B123" t="inlineStr">
        <is>
          <t>ERP licence (2019)</t>
        </is>
      </c>
      <c r="C123" t="inlineStr">
        <is>
          <t>Software licences</t>
        </is>
      </c>
      <c r="D123" t="inlineStr">
        <is>
          <t>CC-600</t>
        </is>
      </c>
      <c r="E123" s="5" t="n">
        <v>43517</v>
      </c>
      <c r="F123" t="n">
        <v>5721.58</v>
      </c>
      <c r="G123" t="n">
        <v>60</v>
      </c>
      <c r="H123" s="5" t="n"/>
    </row>
    <row r="124">
      <c r="A124" t="inlineStr">
        <is>
          <t>IA-00123</t>
        </is>
      </c>
      <c r="B124" t="inlineStr">
        <is>
          <t>Database licence (2019)</t>
        </is>
      </c>
      <c r="C124" t="inlineStr">
        <is>
          <t>Software licences</t>
        </is>
      </c>
      <c r="D124" t="inlineStr">
        <is>
          <t>CC-200</t>
        </is>
      </c>
      <c r="E124" s="5" t="n">
        <v>43741</v>
      </c>
      <c r="F124" t="n">
        <v>7846.36</v>
      </c>
      <c r="G124" t="n">
        <v>36</v>
      </c>
      <c r="H124" s="5" t="n"/>
    </row>
    <row r="125">
      <c r="A125" t="inlineStr">
        <is>
          <t>IA-00124</t>
        </is>
      </c>
      <c r="B125" t="inlineStr">
        <is>
          <t>Collaboration suite licence (2017)</t>
        </is>
      </c>
      <c r="C125" t="inlineStr">
        <is>
          <t>Software licences</t>
        </is>
      </c>
      <c r="D125" t="inlineStr">
        <is>
          <t>CC-200</t>
        </is>
      </c>
      <c r="E125" s="5" t="n">
        <v>43050</v>
      </c>
      <c r="F125" t="n">
        <v>14765.28</v>
      </c>
      <c r="G125" t="n">
        <v>48</v>
      </c>
      <c r="H125" s="5" t="n"/>
    </row>
    <row r="126">
      <c r="A126" t="inlineStr">
        <is>
          <t>IA-00125</t>
        </is>
      </c>
      <c r="B126" t="inlineStr">
        <is>
          <t>Self-care portal release (2019)</t>
        </is>
      </c>
      <c r="C126" t="inlineStr">
        <is>
          <t>Capitalised development</t>
        </is>
      </c>
      <c r="D126" t="inlineStr">
        <is>
          <t>CC-200</t>
        </is>
      </c>
      <c r="E126" s="5" t="n">
        <v>43811</v>
      </c>
      <c r="F126" t="n">
        <v>27548.03</v>
      </c>
      <c r="G126" t="n">
        <v>60</v>
      </c>
      <c r="H126" s="5" t="n"/>
    </row>
    <row r="127">
      <c r="A127" t="inlineStr">
        <is>
          <t>IA-00126</t>
        </is>
      </c>
      <c r="B127" t="inlineStr">
        <is>
          <t>Integration layer (2021)</t>
        </is>
      </c>
      <c r="C127" t="inlineStr">
        <is>
          <t>Capitalised development</t>
        </is>
      </c>
      <c r="D127" t="inlineStr">
        <is>
          <t>CC-500</t>
        </is>
      </c>
      <c r="E127" s="5" t="n">
        <v>44266</v>
      </c>
      <c r="F127" t="n">
        <v>256459.27</v>
      </c>
      <c r="G127" t="n">
        <v>60</v>
      </c>
      <c r="H127" s="5" t="n">
        <v>44786</v>
      </c>
    </row>
    <row r="128">
      <c r="A128" t="inlineStr">
        <is>
          <t>IA-00127</t>
        </is>
      </c>
      <c r="B128" t="inlineStr">
        <is>
          <t>Collaboration suite licence (2018)</t>
        </is>
      </c>
      <c r="C128" t="inlineStr">
        <is>
          <t>Software licences</t>
        </is>
      </c>
      <c r="D128" t="inlineStr">
        <is>
          <t>CC-300</t>
        </is>
      </c>
      <c r="E128" s="5" t="n">
        <v>43441</v>
      </c>
      <c r="F128" t="n">
        <v>44650.53</v>
      </c>
      <c r="G128" t="n">
        <v>60</v>
      </c>
      <c r="H128" s="5" t="n"/>
    </row>
    <row r="129">
      <c r="A129" t="inlineStr">
        <is>
          <t>IA-00128</t>
        </is>
      </c>
      <c r="B129" t="inlineStr">
        <is>
          <t>Integration layer (2022)</t>
        </is>
      </c>
      <c r="C129" t="inlineStr">
        <is>
          <t>Capitalised development</t>
        </is>
      </c>
      <c r="D129" t="inlineStr">
        <is>
          <t>CC-300</t>
        </is>
      </c>
      <c r="E129" s="5" t="n">
        <v>44615</v>
      </c>
      <c r="F129" t="n">
        <v>512380.64</v>
      </c>
      <c r="G129" t="n">
        <v>48</v>
      </c>
      <c r="H129" s="5" t="n"/>
    </row>
    <row r="130">
      <c r="A130" t="inlineStr">
        <is>
          <t>IA-00129</t>
        </is>
      </c>
      <c r="B130" t="inlineStr">
        <is>
          <t>Domain portfolio (2020)</t>
        </is>
      </c>
      <c r="C130" t="inlineStr">
        <is>
          <t>Trademarks and other rights</t>
        </is>
      </c>
      <c r="D130" t="inlineStr">
        <is>
          <t>CC-300</t>
        </is>
      </c>
      <c r="E130" s="5" t="n">
        <v>44085</v>
      </c>
      <c r="F130" t="n">
        <v>230245.12</v>
      </c>
      <c r="G130" t="n">
        <v>120</v>
      </c>
      <c r="H130" s="5" t="n"/>
    </row>
    <row r="131">
      <c r="A131" t="inlineStr">
        <is>
          <t>IA-00130</t>
        </is>
      </c>
      <c r="B131" t="inlineStr">
        <is>
          <t>Order management feature (2016)</t>
        </is>
      </c>
      <c r="C131" t="inlineStr">
        <is>
          <t>Capitalised development</t>
        </is>
      </c>
      <c r="D131" t="inlineStr">
        <is>
          <t>CC-600</t>
        </is>
      </c>
      <c r="E131" s="5" t="n">
        <v>42676</v>
      </c>
      <c r="F131" t="n">
        <v>91184.7</v>
      </c>
      <c r="G131" t="n">
        <v>60</v>
      </c>
      <c r="H131" s="5" t="n"/>
    </row>
    <row r="132">
      <c r="A132" t="inlineStr">
        <is>
          <t>IA-00131</t>
        </is>
      </c>
      <c r="B132" t="inlineStr">
        <is>
          <t>Data warehouse build (2017)</t>
        </is>
      </c>
      <c r="C132" t="inlineStr">
        <is>
          <t>Capitalised development</t>
        </is>
      </c>
      <c r="D132" t="inlineStr">
        <is>
          <t>CC-200</t>
        </is>
      </c>
      <c r="E132" s="5" t="n">
        <v>42888</v>
      </c>
      <c r="F132" t="n">
        <v>72649.12</v>
      </c>
      <c r="G132" t="n">
        <v>36</v>
      </c>
      <c r="H132" s="5" t="n"/>
    </row>
    <row r="133">
      <c r="A133" t="inlineStr">
        <is>
          <t>IA-00132</t>
        </is>
      </c>
      <c r="B133" t="inlineStr">
        <is>
          <t>Brand licence (2019)</t>
        </is>
      </c>
      <c r="C133" t="inlineStr">
        <is>
          <t>Trademarks and other rights</t>
        </is>
      </c>
      <c r="D133" t="inlineStr">
        <is>
          <t>CC-100</t>
        </is>
      </c>
      <c r="E133" s="5" t="n">
        <v>43679</v>
      </c>
      <c r="F133" t="n">
        <v>31094.93</v>
      </c>
      <c r="G133" t="n">
        <v>120</v>
      </c>
      <c r="H133" s="5" t="n"/>
    </row>
    <row r="134">
      <c r="A134" t="inlineStr">
        <is>
          <t>IA-00133</t>
        </is>
      </c>
      <c r="B134" t="inlineStr">
        <is>
          <t>Analytics suite licence (2018)</t>
        </is>
      </c>
      <c r="C134" t="inlineStr">
        <is>
          <t>Software licences</t>
        </is>
      </c>
      <c r="D134" t="inlineStr">
        <is>
          <t>CC-400</t>
        </is>
      </c>
      <c r="E134" s="5" t="n">
        <v>43182</v>
      </c>
      <c r="F134" t="n">
        <v>92759.12</v>
      </c>
      <c r="G134" t="n">
        <v>60</v>
      </c>
      <c r="H134" s="5" t="n"/>
    </row>
    <row r="135">
      <c r="A135" t="inlineStr">
        <is>
          <t>IA-00134</t>
        </is>
      </c>
      <c r="B135" t="inlineStr">
        <is>
          <t>Reporting platform (2019)</t>
        </is>
      </c>
      <c r="C135" t="inlineStr">
        <is>
          <t>Capitalised development</t>
        </is>
      </c>
      <c r="D135" t="inlineStr">
        <is>
          <t>CC-400</t>
        </is>
      </c>
      <c r="E135" s="5" t="n">
        <v>43765</v>
      </c>
      <c r="F135" t="n">
        <v>362944.18</v>
      </c>
      <c r="G135" t="n">
        <v>60</v>
      </c>
      <c r="H135" s="5" t="n"/>
    </row>
    <row r="136">
      <c r="A136" t="inlineStr">
        <is>
          <t>IA-00135</t>
        </is>
      </c>
      <c r="B136" t="inlineStr">
        <is>
          <t>Order management feature (2023)</t>
        </is>
      </c>
      <c r="C136" t="inlineStr">
        <is>
          <t>Capitalised development</t>
        </is>
      </c>
      <c r="D136" t="inlineStr">
        <is>
          <t>CC-600</t>
        </is>
      </c>
      <c r="E136" s="5" t="n">
        <v>45184</v>
      </c>
      <c r="F136" t="n">
        <v>392510</v>
      </c>
      <c r="G136" t="n">
        <v>36</v>
      </c>
      <c r="H136" s="5" t="n"/>
    </row>
    <row r="137">
      <c r="A137" t="inlineStr">
        <is>
          <t>IA-00136</t>
        </is>
      </c>
      <c r="B137" t="inlineStr">
        <is>
          <t>Billing engine module (2019)</t>
        </is>
      </c>
      <c r="C137" t="inlineStr">
        <is>
          <t>Capitalised development</t>
        </is>
      </c>
      <c r="D137" t="inlineStr">
        <is>
          <t>CC-600</t>
        </is>
      </c>
      <c r="E137" s="5" t="n">
        <v>43655</v>
      </c>
      <c r="F137" t="n">
        <v>164220.78</v>
      </c>
      <c r="G137" t="n">
        <v>48</v>
      </c>
      <c r="H137" s="5" t="n"/>
    </row>
    <row r="138">
      <c r="A138" t="inlineStr">
        <is>
          <t>IA-00137</t>
        </is>
      </c>
      <c r="B138" t="inlineStr">
        <is>
          <t>Content rights package (2023)</t>
        </is>
      </c>
      <c r="C138" t="inlineStr">
        <is>
          <t>Trademarks and other rights</t>
        </is>
      </c>
      <c r="D138" t="inlineStr">
        <is>
          <t>CC-500</t>
        </is>
      </c>
      <c r="E138" s="5" t="n">
        <v>45246</v>
      </c>
      <c r="F138" t="n">
        <v>28957.36</v>
      </c>
      <c r="G138" t="n">
        <v>120</v>
      </c>
      <c r="H138" s="5" t="n"/>
    </row>
    <row r="139">
      <c r="A139" t="inlineStr">
        <is>
          <t>IA-00138</t>
        </is>
      </c>
      <c r="B139" t="inlineStr">
        <is>
          <t>Monitoring tool licence (2016)</t>
        </is>
      </c>
      <c r="C139" t="inlineStr">
        <is>
          <t>Software licences</t>
        </is>
      </c>
      <c r="D139" t="inlineStr">
        <is>
          <t>CC-400</t>
        </is>
      </c>
      <c r="E139" s="5" t="n">
        <v>42731</v>
      </c>
      <c r="F139" t="n">
        <v>4803.74</v>
      </c>
      <c r="G139" t="n">
        <v>60</v>
      </c>
      <c r="H139" s="5" t="n"/>
    </row>
    <row r="140">
      <c r="A140" t="inlineStr">
        <is>
          <t>IA-00139</t>
        </is>
      </c>
      <c r="B140" t="inlineStr">
        <is>
          <t>Data warehouse build (2023)</t>
        </is>
      </c>
      <c r="C140" t="inlineStr">
        <is>
          <t>Capitalised development</t>
        </is>
      </c>
      <c r="D140" t="inlineStr">
        <is>
          <t>CC-600</t>
        </is>
      </c>
      <c r="E140" s="5" t="n">
        <v>45249</v>
      </c>
      <c r="F140" t="n">
        <v>117416.72</v>
      </c>
      <c r="G140" t="n">
        <v>36</v>
      </c>
      <c r="H140" s="5" t="n"/>
    </row>
    <row r="141">
      <c r="A141" t="inlineStr">
        <is>
          <t>IA-00140</t>
        </is>
      </c>
      <c r="B141" t="inlineStr">
        <is>
          <t>Duct usage right (2016)</t>
        </is>
      </c>
      <c r="C141" t="inlineStr">
        <is>
          <t>Usage rights</t>
        </is>
      </c>
      <c r="D141" t="inlineStr">
        <is>
          <t>CC-400</t>
        </is>
      </c>
      <c r="E141" s="5" t="n">
        <v>42617</v>
      </c>
      <c r="F141" t="n">
        <v>439220.69</v>
      </c>
      <c r="G141" t="n">
        <v>180</v>
      </c>
      <c r="H141" s="5" t="n"/>
    </row>
    <row r="142">
      <c r="A142" t="inlineStr">
        <is>
          <t>IA-00141</t>
        </is>
      </c>
      <c r="B142" t="inlineStr">
        <is>
          <t>Brand licence (2022)</t>
        </is>
      </c>
      <c r="C142" t="inlineStr">
        <is>
          <t>Trademarks and other rights</t>
        </is>
      </c>
      <c r="D142" t="inlineStr">
        <is>
          <t>CC-300</t>
        </is>
      </c>
      <c r="E142" s="5" t="n">
        <v>44773</v>
      </c>
      <c r="F142" t="n">
        <v>11461.18</v>
      </c>
      <c r="G142" t="n">
        <v>120</v>
      </c>
      <c r="H142" s="5" t="n"/>
    </row>
    <row r="143">
      <c r="A143" t="inlineStr">
        <is>
          <t>IA-00142</t>
        </is>
      </c>
      <c r="B143" t="inlineStr">
        <is>
          <t>ERP licence (2021)</t>
        </is>
      </c>
      <c r="C143" t="inlineStr">
        <is>
          <t>Software licences</t>
        </is>
      </c>
      <c r="D143" t="inlineStr">
        <is>
          <t>CC-400</t>
        </is>
      </c>
      <c r="E143" s="5" t="n">
        <v>44343</v>
      </c>
      <c r="F143" t="n">
        <v>97098.64</v>
      </c>
      <c r="G143" t="n">
        <v>60</v>
      </c>
      <c r="H143" s="5" t="n"/>
    </row>
    <row r="144">
      <c r="A144" t="inlineStr">
        <is>
          <t>IA-00143</t>
        </is>
      </c>
      <c r="B144" t="inlineStr">
        <is>
          <t>Domain portfolio (2021)</t>
        </is>
      </c>
      <c r="C144" t="inlineStr">
        <is>
          <t>Trademarks and other rights</t>
        </is>
      </c>
      <c r="D144" t="inlineStr">
        <is>
          <t>CC-100</t>
        </is>
      </c>
      <c r="E144" s="5" t="n">
        <v>44530</v>
      </c>
      <c r="F144" t="n">
        <v>191886.46</v>
      </c>
      <c r="G144" t="n">
        <v>120</v>
      </c>
      <c r="H144" s="5" t="n"/>
    </row>
    <row r="145">
      <c r="A145" t="inlineStr">
        <is>
          <t>IA-00144</t>
        </is>
      </c>
      <c r="B145" t="inlineStr">
        <is>
          <t>Self-care portal release (2022)</t>
        </is>
      </c>
      <c r="C145" t="inlineStr">
        <is>
          <t>Capitalised development</t>
        </is>
      </c>
      <c r="D145" t="inlineStr">
        <is>
          <t>CC-600</t>
        </is>
      </c>
      <c r="E145" s="5" t="n">
        <v>44877</v>
      </c>
      <c r="F145" t="n">
        <v>20345.56</v>
      </c>
      <c r="G145" t="n">
        <v>48</v>
      </c>
      <c r="H145" s="5" t="n"/>
    </row>
    <row r="146">
      <c r="A146" t="inlineStr">
        <is>
          <t>IA-00145</t>
        </is>
      </c>
      <c r="B146" t="inlineStr">
        <is>
          <t>Mobile app release (2016)</t>
        </is>
      </c>
      <c r="C146" t="inlineStr">
        <is>
          <t>Capitalised development</t>
        </is>
      </c>
      <c r="D146" t="inlineStr">
        <is>
          <t>CC-600</t>
        </is>
      </c>
      <c r="E146" s="5" t="n">
        <v>42456</v>
      </c>
      <c r="F146" t="n">
        <v>92162.88</v>
      </c>
      <c r="G146" t="n">
        <v>48</v>
      </c>
      <c r="H146" s="5" t="n"/>
    </row>
    <row r="147">
      <c r="A147" t="inlineStr">
        <is>
          <t>IA-00146</t>
        </is>
      </c>
      <c r="B147" t="inlineStr">
        <is>
          <t>Security software licence (2022)</t>
        </is>
      </c>
      <c r="C147" t="inlineStr">
        <is>
          <t>Software licences</t>
        </is>
      </c>
      <c r="D147" t="inlineStr">
        <is>
          <t>CC-500</t>
        </is>
      </c>
      <c r="E147" s="5" t="n">
        <v>44861</v>
      </c>
      <c r="F147" t="n">
        <v>18964.43</v>
      </c>
      <c r="G147" t="n">
        <v>60</v>
      </c>
      <c r="H147" s="5" t="n"/>
    </row>
    <row r="148">
      <c r="A148" t="inlineStr">
        <is>
          <t>IA-00147</t>
        </is>
      </c>
      <c r="B148" t="inlineStr">
        <is>
          <t>ERP licence (2020)</t>
        </is>
      </c>
      <c r="C148" t="inlineStr">
        <is>
          <t>Software licences</t>
        </is>
      </c>
      <c r="D148" t="inlineStr">
        <is>
          <t>CC-200</t>
        </is>
      </c>
      <c r="E148" s="5" t="n">
        <v>44094</v>
      </c>
      <c r="F148" t="n">
        <v>23600.48</v>
      </c>
      <c r="G148" t="n">
        <v>48</v>
      </c>
      <c r="H148" s="5" t="n"/>
    </row>
    <row r="149">
      <c r="A149" t="inlineStr">
        <is>
          <t>IA-00148</t>
        </is>
      </c>
      <c r="B149" t="inlineStr">
        <is>
          <t>Collaboration suite licence (2016)</t>
        </is>
      </c>
      <c r="C149" t="inlineStr">
        <is>
          <t>Software licences</t>
        </is>
      </c>
      <c r="D149" t="inlineStr">
        <is>
          <t>CC-300</t>
        </is>
      </c>
      <c r="E149" s="5" t="n">
        <v>42617</v>
      </c>
      <c r="F149" t="n">
        <v>18453.76</v>
      </c>
      <c r="G149" t="n">
        <v>60</v>
      </c>
      <c r="H149" s="5" t="n"/>
    </row>
    <row r="150">
      <c r="A150" t="inlineStr">
        <is>
          <t>IA-00149</t>
        </is>
      </c>
      <c r="B150" t="inlineStr">
        <is>
          <t>Content distribution right (2023)</t>
        </is>
      </c>
      <c r="C150" t="inlineStr">
        <is>
          <t>Usage rights</t>
        </is>
      </c>
      <c r="D150" t="inlineStr">
        <is>
          <t>CC-300</t>
        </is>
      </c>
      <c r="E150" s="5" t="n">
        <v>45288</v>
      </c>
      <c r="F150" t="n">
        <v>159397.04</v>
      </c>
      <c r="G150" t="n">
        <v>120</v>
      </c>
      <c r="H150" s="5" t="n"/>
    </row>
    <row r="151">
      <c r="A151" t="inlineStr">
        <is>
          <t>IA-00150</t>
        </is>
      </c>
      <c r="B151" t="inlineStr">
        <is>
          <t>Billing engine module (2023)</t>
        </is>
      </c>
      <c r="C151" t="inlineStr">
        <is>
          <t>Capitalised development</t>
        </is>
      </c>
      <c r="D151" t="inlineStr">
        <is>
          <t>CC-500</t>
        </is>
      </c>
      <c r="E151" s="5" t="n">
        <v>45284</v>
      </c>
      <c r="F151" t="n">
        <v>288227.39</v>
      </c>
      <c r="G151" t="n">
        <v>48</v>
      </c>
      <c r="H151" s="5" t="n"/>
    </row>
    <row r="152">
      <c r="A152" t="inlineStr">
        <is>
          <t>IA-00151</t>
        </is>
      </c>
      <c r="B152" t="inlineStr">
        <is>
          <t>Database licence (2023)</t>
        </is>
      </c>
      <c r="C152" t="inlineStr">
        <is>
          <t>Software licences</t>
        </is>
      </c>
      <c r="D152" t="inlineStr">
        <is>
          <t>CC-100</t>
        </is>
      </c>
      <c r="E152" s="5" t="n">
        <v>45044</v>
      </c>
      <c r="F152" t="n">
        <v>36904.22</v>
      </c>
      <c r="G152" t="n">
        <v>36</v>
      </c>
      <c r="H152" s="5" t="n"/>
    </row>
    <row r="153">
      <c r="A153" t="inlineStr">
        <is>
          <t>IA-00152</t>
        </is>
      </c>
      <c r="B153" t="inlineStr">
        <is>
          <t>Database licence (2017)</t>
        </is>
      </c>
      <c r="C153" t="inlineStr">
        <is>
          <t>Software licences</t>
        </is>
      </c>
      <c r="D153" t="inlineStr">
        <is>
          <t>CC-200</t>
        </is>
      </c>
      <c r="E153" s="5" t="n">
        <v>42960</v>
      </c>
      <c r="F153" t="n">
        <v>4328.85</v>
      </c>
      <c r="G153" t="n">
        <v>48</v>
      </c>
      <c r="H153" s="5" t="n"/>
    </row>
    <row r="154">
      <c r="A154" t="inlineStr">
        <is>
          <t>IA-00153</t>
        </is>
      </c>
      <c r="B154" t="inlineStr">
        <is>
          <t>Reporting platform (2018)</t>
        </is>
      </c>
      <c r="C154" t="inlineStr">
        <is>
          <t>Capitalised development</t>
        </is>
      </c>
      <c r="D154" t="inlineStr">
        <is>
          <t>CC-600</t>
        </is>
      </c>
      <c r="E154" s="5" t="n">
        <v>43373</v>
      </c>
      <c r="F154" t="n">
        <v>99085.57000000001</v>
      </c>
      <c r="G154" t="n">
        <v>60</v>
      </c>
      <c r="H154" s="5" t="n"/>
    </row>
    <row r="155">
      <c r="A155" t="inlineStr">
        <is>
          <t>IA-00154</t>
        </is>
      </c>
      <c r="B155" t="inlineStr">
        <is>
          <t>Integration layer (2018)</t>
        </is>
      </c>
      <c r="C155" t="inlineStr">
        <is>
          <t>Capitalised development</t>
        </is>
      </c>
      <c r="D155" t="inlineStr">
        <is>
          <t>CC-300</t>
        </is>
      </c>
      <c r="E155" s="5" t="n">
        <v>43201</v>
      </c>
      <c r="F155" t="n">
        <v>608073.85</v>
      </c>
      <c r="G155" t="n">
        <v>36</v>
      </c>
      <c r="H155" s="5" t="n"/>
    </row>
    <row r="156">
      <c r="A156" t="inlineStr">
        <is>
          <t>IA-00155</t>
        </is>
      </c>
      <c r="B156" t="inlineStr">
        <is>
          <t>Collaboration suite licence (2023)</t>
        </is>
      </c>
      <c r="C156" t="inlineStr">
        <is>
          <t>Software licences</t>
        </is>
      </c>
      <c r="D156" t="inlineStr">
        <is>
          <t>CC-500</t>
        </is>
      </c>
      <c r="E156" s="5" t="n">
        <v>45026</v>
      </c>
      <c r="F156" t="n">
        <v>42700.69</v>
      </c>
      <c r="G156" t="n">
        <v>36</v>
      </c>
      <c r="H156" s="5" t="n"/>
    </row>
    <row r="157">
      <c r="A157" t="inlineStr">
        <is>
          <t>IA-00156</t>
        </is>
      </c>
      <c r="B157" t="inlineStr">
        <is>
          <t>Mobile app release (2018)</t>
        </is>
      </c>
      <c r="C157" t="inlineStr">
        <is>
          <t>Capitalised development</t>
        </is>
      </c>
      <c r="D157" t="inlineStr">
        <is>
          <t>CC-200</t>
        </is>
      </c>
      <c r="E157" s="5" t="n">
        <v>43244</v>
      </c>
      <c r="F157" t="n">
        <v>50126.72</v>
      </c>
      <c r="G157" t="n">
        <v>36</v>
      </c>
      <c r="H157" s="5" t="n"/>
    </row>
    <row r="158">
      <c r="A158" t="inlineStr">
        <is>
          <t>IA-00157</t>
        </is>
      </c>
      <c r="B158" t="inlineStr">
        <is>
          <t>ERP licence (2022)</t>
        </is>
      </c>
      <c r="C158" t="inlineStr">
        <is>
          <t>Software licences</t>
        </is>
      </c>
      <c r="D158" t="inlineStr">
        <is>
          <t>CC-400</t>
        </is>
      </c>
      <c r="E158" s="5" t="n">
        <v>44924</v>
      </c>
      <c r="F158" t="n">
        <v>14194.75</v>
      </c>
      <c r="G158" t="n">
        <v>36</v>
      </c>
      <c r="H158" s="5" t="n"/>
    </row>
    <row r="159">
      <c r="A159" t="inlineStr">
        <is>
          <t>IA-00158</t>
        </is>
      </c>
      <c r="B159" t="inlineStr">
        <is>
          <t>Content distribution right (2019)</t>
        </is>
      </c>
      <c r="C159" t="inlineStr">
        <is>
          <t>Usage rights</t>
        </is>
      </c>
      <c r="D159" t="inlineStr">
        <is>
          <t>CC-600</t>
        </is>
      </c>
      <c r="E159" s="5" t="n">
        <v>43650</v>
      </c>
      <c r="F159" t="n">
        <v>322193.58</v>
      </c>
      <c r="G159" t="n">
        <v>180</v>
      </c>
      <c r="H159" s="5" t="n"/>
    </row>
    <row r="160">
      <c r="A160" t="inlineStr">
        <is>
          <t>IA-00159</t>
        </is>
      </c>
      <c r="B160" t="inlineStr">
        <is>
          <t>Self-care portal release (2022)</t>
        </is>
      </c>
      <c r="C160" t="inlineStr">
        <is>
          <t>Capitalised development</t>
        </is>
      </c>
      <c r="D160" t="inlineStr">
        <is>
          <t>CC-500</t>
        </is>
      </c>
      <c r="E160" s="5" t="n">
        <v>44750</v>
      </c>
      <c r="F160" t="n">
        <v>621074.23</v>
      </c>
      <c r="G160" t="n">
        <v>48</v>
      </c>
      <c r="H160" s="5" t="n"/>
    </row>
    <row r="161">
      <c r="A161" t="inlineStr">
        <is>
          <t>IA-00160</t>
        </is>
      </c>
      <c r="B161" t="inlineStr">
        <is>
          <t>Self-care portal release (2016)</t>
        </is>
      </c>
      <c r="C161" t="inlineStr">
        <is>
          <t>Capitalised development</t>
        </is>
      </c>
      <c r="D161" t="inlineStr">
        <is>
          <t>CC-200</t>
        </is>
      </c>
      <c r="E161" s="5" t="n">
        <v>42667</v>
      </c>
      <c r="F161" t="n">
        <v>240131.44</v>
      </c>
      <c r="G161" t="n">
        <v>60</v>
      </c>
      <c r="H161" s="5" t="n"/>
    </row>
    <row r="162">
      <c r="A162" t="inlineStr">
        <is>
          <t>IA-00161</t>
        </is>
      </c>
      <c r="B162" t="inlineStr">
        <is>
          <t>Reporting platform (2019)</t>
        </is>
      </c>
      <c r="C162" t="inlineStr">
        <is>
          <t>Capitalised development</t>
        </is>
      </c>
      <c r="D162" t="inlineStr">
        <is>
          <t>CC-600</t>
        </is>
      </c>
      <c r="E162" s="5" t="n">
        <v>43635</v>
      </c>
      <c r="F162" t="n">
        <v>22923.75</v>
      </c>
      <c r="G162" t="n">
        <v>60</v>
      </c>
      <c r="H162" s="5" t="n"/>
    </row>
    <row r="163">
      <c r="A163" t="inlineStr">
        <is>
          <t>IA-00162</t>
        </is>
      </c>
      <c r="B163" t="inlineStr">
        <is>
          <t>ERP licence (2017)</t>
        </is>
      </c>
      <c r="C163" t="inlineStr">
        <is>
          <t>Software licences</t>
        </is>
      </c>
      <c r="D163" t="inlineStr">
        <is>
          <t>CC-600</t>
        </is>
      </c>
      <c r="E163" s="5" t="n">
        <v>43089</v>
      </c>
      <c r="F163" t="n">
        <v>5361.92</v>
      </c>
      <c r="G163" t="n">
        <v>48</v>
      </c>
      <c r="H163" s="5" t="n"/>
    </row>
    <row r="164">
      <c r="A164" t="inlineStr">
        <is>
          <t>IA-00163</t>
        </is>
      </c>
      <c r="B164" t="inlineStr">
        <is>
          <t>Integration layer (2018)</t>
        </is>
      </c>
      <c r="C164" t="inlineStr">
        <is>
          <t>Capitalised development</t>
        </is>
      </c>
      <c r="D164" t="inlineStr">
        <is>
          <t>CC-100</t>
        </is>
      </c>
      <c r="E164" s="5" t="n">
        <v>43283</v>
      </c>
      <c r="F164" t="n">
        <v>24281.67</v>
      </c>
      <c r="G164" t="n">
        <v>48</v>
      </c>
      <c r="H164" s="5" t="n"/>
    </row>
    <row r="165">
      <c r="A165" t="inlineStr">
        <is>
          <t>IA-00164</t>
        </is>
      </c>
      <c r="B165" t="inlineStr">
        <is>
          <t>Database licence (2021)</t>
        </is>
      </c>
      <c r="C165" t="inlineStr">
        <is>
          <t>Software licences</t>
        </is>
      </c>
      <c r="D165" t="inlineStr">
        <is>
          <t>CC-600</t>
        </is>
      </c>
      <c r="E165" s="5" t="n">
        <v>44410</v>
      </c>
      <c r="F165" t="n">
        <v>10094.75</v>
      </c>
      <c r="G165" t="n">
        <v>36</v>
      </c>
      <c r="H165" s="5" t="n"/>
    </row>
    <row r="166">
      <c r="A166" t="inlineStr">
        <is>
          <t>IA-00165</t>
        </is>
      </c>
      <c r="B166" t="inlineStr">
        <is>
          <t>Database licence (2019)</t>
        </is>
      </c>
      <c r="C166" t="inlineStr">
        <is>
          <t>Software licences</t>
        </is>
      </c>
      <c r="D166" t="inlineStr">
        <is>
          <t>CC-100</t>
        </is>
      </c>
      <c r="E166" s="5" t="n">
        <v>43587</v>
      </c>
      <c r="F166" t="n">
        <v>4029.81</v>
      </c>
      <c r="G166" t="n">
        <v>48</v>
      </c>
      <c r="H166" s="5" t="n"/>
    </row>
    <row r="167">
      <c r="A167" t="inlineStr">
        <is>
          <t>IA-00166</t>
        </is>
      </c>
      <c r="B167" t="inlineStr">
        <is>
          <t>Collaboration suite licence (2020)</t>
        </is>
      </c>
      <c r="C167" t="inlineStr">
        <is>
          <t>Software licences</t>
        </is>
      </c>
      <c r="D167" t="inlineStr">
        <is>
          <t>CC-100</t>
        </is>
      </c>
      <c r="E167" s="5" t="n">
        <v>43854</v>
      </c>
      <c r="F167" t="n">
        <v>35700.71</v>
      </c>
      <c r="G167" t="n">
        <v>36</v>
      </c>
      <c r="H167" s="5" t="n"/>
    </row>
    <row r="168">
      <c r="A168" t="inlineStr">
        <is>
          <t>IA-00167</t>
        </is>
      </c>
      <c r="B168" t="inlineStr">
        <is>
          <t>Analytics suite licence (2022)</t>
        </is>
      </c>
      <c r="C168" t="inlineStr">
        <is>
          <t>Software licences</t>
        </is>
      </c>
      <c r="D168" t="inlineStr">
        <is>
          <t>CC-200</t>
        </is>
      </c>
      <c r="E168" s="5" t="n">
        <v>44650</v>
      </c>
      <c r="F168" t="n">
        <v>172061.76</v>
      </c>
      <c r="G168" t="n">
        <v>36</v>
      </c>
      <c r="H168" s="5" t="n"/>
    </row>
    <row r="169">
      <c r="A169" t="inlineStr">
        <is>
          <t>IA-00168</t>
        </is>
      </c>
      <c r="B169" t="inlineStr">
        <is>
          <t>Database licence (2019)</t>
        </is>
      </c>
      <c r="C169" t="inlineStr">
        <is>
          <t>Software licences</t>
        </is>
      </c>
      <c r="D169" t="inlineStr">
        <is>
          <t>CC-300</t>
        </is>
      </c>
      <c r="E169" s="5" t="n">
        <v>43772</v>
      </c>
      <c r="F169" t="n">
        <v>84908.89999999999</v>
      </c>
      <c r="G169" t="n">
        <v>36</v>
      </c>
      <c r="H169" s="5" t="n"/>
    </row>
    <row r="170">
      <c r="A170" t="inlineStr">
        <is>
          <t>IA-00169</t>
        </is>
      </c>
      <c r="B170" t="inlineStr">
        <is>
          <t>Analytics suite licence (2023)</t>
        </is>
      </c>
      <c r="C170" t="inlineStr">
        <is>
          <t>Software licences</t>
        </is>
      </c>
      <c r="D170" t="inlineStr">
        <is>
          <t>CC-300</t>
        </is>
      </c>
      <c r="E170" s="5" t="n">
        <v>45088</v>
      </c>
      <c r="F170" t="n">
        <v>4970.29</v>
      </c>
      <c r="G170" t="n">
        <v>60</v>
      </c>
      <c r="H170" s="5" t="n"/>
    </row>
    <row r="171">
      <c r="A171" t="inlineStr">
        <is>
          <t>IA-00170</t>
        </is>
      </c>
      <c r="B171" t="inlineStr">
        <is>
          <t>Security software licence (2016)</t>
        </is>
      </c>
      <c r="C171" t="inlineStr">
        <is>
          <t>Software licences</t>
        </is>
      </c>
      <c r="D171" t="inlineStr">
        <is>
          <t>CC-100</t>
        </is>
      </c>
      <c r="E171" s="5" t="n">
        <v>42508</v>
      </c>
      <c r="F171" t="n">
        <v>7420.89</v>
      </c>
      <c r="G171" t="n">
        <v>60</v>
      </c>
      <c r="H171" s="5" t="n"/>
    </row>
    <row r="172">
      <c r="A172" t="inlineStr">
        <is>
          <t>IA-00171</t>
        </is>
      </c>
      <c r="B172" t="inlineStr">
        <is>
          <t>CRM licence (2017)</t>
        </is>
      </c>
      <c r="C172" t="inlineStr">
        <is>
          <t>Software licences</t>
        </is>
      </c>
      <c r="D172" t="inlineStr">
        <is>
          <t>CC-100</t>
        </is>
      </c>
      <c r="E172" s="5" t="n">
        <v>42920</v>
      </c>
      <c r="F172" t="n">
        <v>4600.58</v>
      </c>
      <c r="G172" t="n">
        <v>60</v>
      </c>
      <c r="H172" s="5" t="n"/>
    </row>
    <row r="173">
      <c r="A173" t="inlineStr">
        <is>
          <t>IA-00172</t>
        </is>
      </c>
      <c r="B173" t="inlineStr">
        <is>
          <t>Security software licence (2020)</t>
        </is>
      </c>
      <c r="C173" t="inlineStr">
        <is>
          <t>Software licences</t>
        </is>
      </c>
      <c r="D173" t="inlineStr">
        <is>
          <t>CC-500</t>
        </is>
      </c>
      <c r="E173" s="5" t="n">
        <v>44033</v>
      </c>
      <c r="F173" t="n">
        <v>56004.66</v>
      </c>
      <c r="G173" t="n">
        <v>60</v>
      </c>
      <c r="H173" s="5" t="n"/>
    </row>
    <row r="174">
      <c r="A174" t="inlineStr">
        <is>
          <t>IA-00173</t>
        </is>
      </c>
      <c r="B174" t="inlineStr">
        <is>
          <t>Analytics suite licence (2022)</t>
        </is>
      </c>
      <c r="C174" t="inlineStr">
        <is>
          <t>Software licences</t>
        </is>
      </c>
      <c r="D174" t="inlineStr">
        <is>
          <t>CC-100</t>
        </is>
      </c>
      <c r="E174" s="5" t="n">
        <v>44863</v>
      </c>
      <c r="F174" t="n">
        <v>63737.39</v>
      </c>
      <c r="G174" t="n">
        <v>60</v>
      </c>
      <c r="H174" s="5" t="n"/>
    </row>
    <row r="175">
      <c r="A175" t="inlineStr">
        <is>
          <t>IA-00174</t>
        </is>
      </c>
      <c r="B175" t="inlineStr">
        <is>
          <t>Content rights package (2018)</t>
        </is>
      </c>
      <c r="C175" t="inlineStr">
        <is>
          <t>Trademarks and other rights</t>
        </is>
      </c>
      <c r="D175" t="inlineStr">
        <is>
          <t>CC-400</t>
        </is>
      </c>
      <c r="E175" s="5" t="n">
        <v>43112</v>
      </c>
      <c r="F175" t="n">
        <v>296457.61</v>
      </c>
      <c r="G175" t="n">
        <v>60</v>
      </c>
      <c r="H175" s="5" t="n">
        <v>44382</v>
      </c>
    </row>
    <row r="176">
      <c r="A176" t="inlineStr">
        <is>
          <t>IA-00175</t>
        </is>
      </c>
      <c r="B176" t="inlineStr">
        <is>
          <t>Integration layer (2023)</t>
        </is>
      </c>
      <c r="C176" t="inlineStr">
        <is>
          <t>Capitalised development</t>
        </is>
      </c>
      <c r="D176" t="inlineStr">
        <is>
          <t>CC-500</t>
        </is>
      </c>
      <c r="E176" s="5" t="n">
        <v>45247</v>
      </c>
      <c r="F176" t="n">
        <v>79200.14</v>
      </c>
      <c r="G176" t="n">
        <v>36</v>
      </c>
      <c r="H176" s="5" t="n"/>
    </row>
    <row r="177">
      <c r="A177" t="inlineStr">
        <is>
          <t>IA-00176</t>
        </is>
      </c>
      <c r="B177" t="inlineStr">
        <is>
          <t>Duct usage right (2020)</t>
        </is>
      </c>
      <c r="C177" t="inlineStr">
        <is>
          <t>Usage rights</t>
        </is>
      </c>
      <c r="D177" t="inlineStr">
        <is>
          <t>CC-400</t>
        </is>
      </c>
      <c r="E177" s="5" t="n">
        <v>44125</v>
      </c>
      <c r="F177" t="n">
        <v>116560.62</v>
      </c>
      <c r="G177" t="n">
        <v>84</v>
      </c>
      <c r="H177" s="5" t="n">
        <v>44415</v>
      </c>
    </row>
    <row r="178">
      <c r="A178" t="inlineStr">
        <is>
          <t>IA-00177</t>
        </is>
      </c>
      <c r="B178" t="inlineStr">
        <is>
          <t>Monitoring tool licence (2016)</t>
        </is>
      </c>
      <c r="C178" t="inlineStr">
        <is>
          <t>Software licences</t>
        </is>
      </c>
      <c r="D178" t="inlineStr">
        <is>
          <t>CC-300</t>
        </is>
      </c>
      <c r="E178" s="5" t="n">
        <v>42598</v>
      </c>
      <c r="F178" t="n">
        <v>4570.88</v>
      </c>
      <c r="G178" t="n">
        <v>48</v>
      </c>
      <c r="H178" s="5" t="n"/>
    </row>
    <row r="179">
      <c r="A179" t="inlineStr">
        <is>
          <t>IA-00178</t>
        </is>
      </c>
      <c r="B179" t="inlineStr">
        <is>
          <t>ERP licence (2021)</t>
        </is>
      </c>
      <c r="C179" t="inlineStr">
        <is>
          <t>Software licences</t>
        </is>
      </c>
      <c r="D179" t="inlineStr">
        <is>
          <t>CC-200</t>
        </is>
      </c>
      <c r="E179" s="5" t="n">
        <v>44488</v>
      </c>
      <c r="F179" t="n">
        <v>94880.92</v>
      </c>
      <c r="G179" t="n">
        <v>60</v>
      </c>
      <c r="H179" s="5" t="n"/>
    </row>
    <row r="180">
      <c r="A180" t="inlineStr">
        <is>
          <t>IA-00179</t>
        </is>
      </c>
      <c r="B180" t="inlineStr">
        <is>
          <t>CRM licence (2023)</t>
        </is>
      </c>
      <c r="C180" t="inlineStr">
        <is>
          <t>Software licences</t>
        </is>
      </c>
      <c r="D180" t="inlineStr">
        <is>
          <t>CC-100</t>
        </is>
      </c>
      <c r="E180" s="5" t="n">
        <v>44970</v>
      </c>
      <c r="F180" t="n">
        <v>56922.46</v>
      </c>
      <c r="G180" t="n">
        <v>60</v>
      </c>
      <c r="H180" s="5" t="n"/>
    </row>
    <row r="181">
      <c r="A181" t="inlineStr">
        <is>
          <t>IA-00180</t>
        </is>
      </c>
      <c r="B181" t="inlineStr">
        <is>
          <t>Self-care portal release (2017)</t>
        </is>
      </c>
      <c r="C181" t="inlineStr">
        <is>
          <t>Capitalised development</t>
        </is>
      </c>
      <c r="D181" t="inlineStr">
        <is>
          <t>CC-100</t>
        </is>
      </c>
      <c r="E181" s="5" t="n">
        <v>42875</v>
      </c>
      <c r="F181" t="n">
        <v>137940.77</v>
      </c>
      <c r="G181" t="n">
        <v>60</v>
      </c>
      <c r="H181" s="5" t="n"/>
    </row>
    <row r="182">
      <c r="A182" t="inlineStr">
        <is>
          <t>IA-00181</t>
        </is>
      </c>
      <c r="B182" t="inlineStr">
        <is>
          <t>Security software licence (2016)</t>
        </is>
      </c>
      <c r="C182" t="inlineStr">
        <is>
          <t>Software licences</t>
        </is>
      </c>
      <c r="D182" t="inlineStr">
        <is>
          <t>CC-400</t>
        </is>
      </c>
      <c r="E182" s="5" t="n">
        <v>42418</v>
      </c>
      <c r="F182" t="n">
        <v>339342.49</v>
      </c>
      <c r="G182" t="n">
        <v>48</v>
      </c>
      <c r="H182" s="5" t="n"/>
    </row>
    <row r="183">
      <c r="A183" t="inlineStr">
        <is>
          <t>IA-00182</t>
        </is>
      </c>
      <c r="B183" t="inlineStr">
        <is>
          <t>Brand licence (2023)</t>
        </is>
      </c>
      <c r="C183" t="inlineStr">
        <is>
          <t>Trademarks and other rights</t>
        </is>
      </c>
      <c r="D183" t="inlineStr">
        <is>
          <t>CC-100</t>
        </is>
      </c>
      <c r="E183" s="5" t="n">
        <v>44942</v>
      </c>
      <c r="F183" t="n">
        <v>72281.17999999999</v>
      </c>
      <c r="G183" t="n">
        <v>120</v>
      </c>
      <c r="H183" s="5" t="n"/>
    </row>
    <row r="184">
      <c r="A184" t="inlineStr">
        <is>
          <t>IA-00183</t>
        </is>
      </c>
      <c r="B184" t="inlineStr">
        <is>
          <t>ERP licence (2016)</t>
        </is>
      </c>
      <c r="C184" t="inlineStr">
        <is>
          <t>Software licences</t>
        </is>
      </c>
      <c r="D184" t="inlineStr">
        <is>
          <t>CC-200</t>
        </is>
      </c>
      <c r="E184" s="5" t="n">
        <v>42517</v>
      </c>
      <c r="F184" t="n">
        <v>57110.38</v>
      </c>
      <c r="G184" t="n">
        <v>48</v>
      </c>
      <c r="H184" s="5" t="n"/>
    </row>
    <row r="185">
      <c r="A185" t="inlineStr">
        <is>
          <t>IA-00184</t>
        </is>
      </c>
      <c r="B185" t="inlineStr">
        <is>
          <t>Site access right (2016)</t>
        </is>
      </c>
      <c r="C185" t="inlineStr">
        <is>
          <t>Usage rights</t>
        </is>
      </c>
      <c r="D185" t="inlineStr">
        <is>
          <t>CC-100</t>
        </is>
      </c>
      <c r="E185" s="5" t="n">
        <v>42423</v>
      </c>
      <c r="F185" t="n">
        <v>514126.32</v>
      </c>
      <c r="G185" t="n">
        <v>60</v>
      </c>
      <c r="H185" s="5" t="n"/>
    </row>
    <row r="186">
      <c r="A186" t="inlineStr">
        <is>
          <t>IA-00185</t>
        </is>
      </c>
      <c r="B186" t="inlineStr">
        <is>
          <t>Brand licence (2018)</t>
        </is>
      </c>
      <c r="C186" t="inlineStr">
        <is>
          <t>Trademarks and other rights</t>
        </is>
      </c>
      <c r="D186" t="inlineStr">
        <is>
          <t>CC-400</t>
        </is>
      </c>
      <c r="E186" s="5" t="n">
        <v>43111</v>
      </c>
      <c r="F186" t="n">
        <v>95167.88</v>
      </c>
      <c r="G186" t="n">
        <v>120</v>
      </c>
      <c r="H186" s="5" t="n"/>
    </row>
    <row r="187">
      <c r="A187" t="inlineStr">
        <is>
          <t>IA-00186</t>
        </is>
      </c>
      <c r="B187" t="inlineStr">
        <is>
          <t>Data warehouse build (2021)</t>
        </is>
      </c>
      <c r="C187" t="inlineStr">
        <is>
          <t>Capitalised development</t>
        </is>
      </c>
      <c r="D187" t="inlineStr">
        <is>
          <t>CC-200</t>
        </is>
      </c>
      <c r="E187" s="5" t="n">
        <v>44490</v>
      </c>
      <c r="F187" t="n">
        <v>173100.63</v>
      </c>
      <c r="G187" t="n">
        <v>60</v>
      </c>
      <c r="H187" s="5" t="n"/>
    </row>
    <row r="188">
      <c r="A188" t="inlineStr">
        <is>
          <t>IA-00187</t>
        </is>
      </c>
      <c r="B188" t="inlineStr">
        <is>
          <t>Content rights package (2019)</t>
        </is>
      </c>
      <c r="C188" t="inlineStr">
        <is>
          <t>Trademarks and other rights</t>
        </is>
      </c>
      <c r="D188" t="inlineStr">
        <is>
          <t>CC-100</t>
        </is>
      </c>
      <c r="E188" s="5" t="n">
        <v>43595</v>
      </c>
      <c r="F188" t="n">
        <v>66741.03</v>
      </c>
      <c r="G188" t="n">
        <v>60</v>
      </c>
      <c r="H188" s="5" t="n"/>
    </row>
    <row r="189">
      <c r="A189" t="inlineStr">
        <is>
          <t>IA-00188</t>
        </is>
      </c>
      <c r="B189" t="inlineStr">
        <is>
          <t>Integration layer (2019)</t>
        </is>
      </c>
      <c r="C189" t="inlineStr">
        <is>
          <t>Capitalised development</t>
        </is>
      </c>
      <c r="D189" t="inlineStr">
        <is>
          <t>CC-500</t>
        </is>
      </c>
      <c r="E189" s="5" t="n">
        <v>43562</v>
      </c>
      <c r="F189" t="n">
        <v>28612.18</v>
      </c>
      <c r="G189" t="n">
        <v>60</v>
      </c>
      <c r="H189" s="5" t="n"/>
    </row>
    <row r="190">
      <c r="A190" t="inlineStr">
        <is>
          <t>IA-00189</t>
        </is>
      </c>
      <c r="B190" t="inlineStr">
        <is>
          <t>Database licence (2021)</t>
        </is>
      </c>
      <c r="C190" t="inlineStr">
        <is>
          <t>Software licences</t>
        </is>
      </c>
      <c r="D190" t="inlineStr">
        <is>
          <t>CC-600</t>
        </is>
      </c>
      <c r="E190" s="5" t="n">
        <v>44364</v>
      </c>
      <c r="F190" t="n">
        <v>7800.92</v>
      </c>
      <c r="G190" t="n">
        <v>36</v>
      </c>
      <c r="H190" s="5" t="n"/>
    </row>
    <row r="191">
      <c r="A191" t="inlineStr">
        <is>
          <t>IA-00190</t>
        </is>
      </c>
      <c r="B191" t="inlineStr">
        <is>
          <t>CRM licence (2022)</t>
        </is>
      </c>
      <c r="C191" t="inlineStr">
        <is>
          <t>Software licences</t>
        </is>
      </c>
      <c r="D191" t="inlineStr">
        <is>
          <t>CC-200</t>
        </is>
      </c>
      <c r="E191" s="5" t="n">
        <v>44879</v>
      </c>
      <c r="F191" t="n">
        <v>236757.11</v>
      </c>
      <c r="G191" t="n">
        <v>36</v>
      </c>
      <c r="H191" s="5" t="n"/>
    </row>
    <row r="192">
      <c r="A192" t="inlineStr">
        <is>
          <t>IA-00191</t>
        </is>
      </c>
      <c r="B192" t="inlineStr">
        <is>
          <t>Mobile app release (2021)</t>
        </is>
      </c>
      <c r="C192" t="inlineStr">
        <is>
          <t>Capitalised development</t>
        </is>
      </c>
      <c r="D192" t="inlineStr">
        <is>
          <t>CC-300</t>
        </is>
      </c>
      <c r="E192" s="5" t="n">
        <v>44513</v>
      </c>
      <c r="F192" t="n">
        <v>566441.7</v>
      </c>
      <c r="G192" t="n">
        <v>48</v>
      </c>
      <c r="H192" s="5" t="n"/>
    </row>
    <row r="193">
      <c r="A193" t="inlineStr">
        <is>
          <t>IA-00192</t>
        </is>
      </c>
      <c r="B193" t="inlineStr">
        <is>
          <t>Order management feature (2021)</t>
        </is>
      </c>
      <c r="C193" t="inlineStr">
        <is>
          <t>Capitalised development</t>
        </is>
      </c>
      <c r="D193" t="inlineStr">
        <is>
          <t>CC-600</t>
        </is>
      </c>
      <c r="E193" s="5" t="n">
        <v>44506</v>
      </c>
      <c r="F193" t="n">
        <v>393939.46</v>
      </c>
      <c r="G193" t="n">
        <v>48</v>
      </c>
      <c r="H193" s="5" t="n"/>
    </row>
    <row r="194">
      <c r="A194" t="inlineStr">
        <is>
          <t>IA-00193</t>
        </is>
      </c>
      <c r="B194" t="inlineStr">
        <is>
          <t>Collaboration suite licence (2023)</t>
        </is>
      </c>
      <c r="C194" t="inlineStr">
        <is>
          <t>Software licences</t>
        </is>
      </c>
      <c r="D194" t="inlineStr">
        <is>
          <t>CC-500</t>
        </is>
      </c>
      <c r="E194" s="5" t="n">
        <v>45011</v>
      </c>
      <c r="F194" t="n">
        <v>191870.78</v>
      </c>
      <c r="G194" t="n">
        <v>48</v>
      </c>
      <c r="H194" s="5" t="n"/>
    </row>
    <row r="195">
      <c r="A195" t="inlineStr">
        <is>
          <t>IA-00194</t>
        </is>
      </c>
      <c r="B195" t="inlineStr">
        <is>
          <t>ERP licence (2021)</t>
        </is>
      </c>
      <c r="C195" t="inlineStr">
        <is>
          <t>Software licences</t>
        </is>
      </c>
      <c r="D195" t="inlineStr">
        <is>
          <t>CC-200</t>
        </is>
      </c>
      <c r="E195" s="5" t="n">
        <v>44542</v>
      </c>
      <c r="F195" t="n">
        <v>4436.07</v>
      </c>
      <c r="G195" t="n">
        <v>60</v>
      </c>
      <c r="H195" s="5" t="n"/>
    </row>
    <row r="196">
      <c r="A196" t="inlineStr">
        <is>
          <t>IA-00195</t>
        </is>
      </c>
      <c r="B196" t="inlineStr">
        <is>
          <t>Security software licence (2021)</t>
        </is>
      </c>
      <c r="C196" t="inlineStr">
        <is>
          <t>Software licences</t>
        </is>
      </c>
      <c r="D196" t="inlineStr">
        <is>
          <t>CC-300</t>
        </is>
      </c>
      <c r="E196" s="5" t="n">
        <v>44471</v>
      </c>
      <c r="F196" t="n">
        <v>211704.55</v>
      </c>
      <c r="G196" t="n">
        <v>48</v>
      </c>
      <c r="H196" s="5" t="n"/>
    </row>
    <row r="197">
      <c r="A197" t="inlineStr">
        <is>
          <t>IA-00196</t>
        </is>
      </c>
      <c r="B197" t="inlineStr">
        <is>
          <t>Data warehouse build (2020)</t>
        </is>
      </c>
      <c r="C197" t="inlineStr">
        <is>
          <t>Capitalised development</t>
        </is>
      </c>
      <c r="D197" t="inlineStr">
        <is>
          <t>CC-100</t>
        </is>
      </c>
      <c r="E197" s="5" t="n">
        <v>44067</v>
      </c>
      <c r="F197" t="n">
        <v>94934.78</v>
      </c>
      <c r="G197" t="n">
        <v>48</v>
      </c>
      <c r="H197" s="5" t="n"/>
    </row>
    <row r="198">
      <c r="A198" t="inlineStr">
        <is>
          <t>IA-00197</t>
        </is>
      </c>
      <c r="B198" t="inlineStr">
        <is>
          <t>Domain portfolio (2019)</t>
        </is>
      </c>
      <c r="C198" t="inlineStr">
        <is>
          <t>Trademarks and other rights</t>
        </is>
      </c>
      <c r="D198" t="inlineStr">
        <is>
          <t>CC-300</t>
        </is>
      </c>
      <c r="E198" s="5" t="n">
        <v>43736</v>
      </c>
      <c r="F198" t="n">
        <v>20662.97</v>
      </c>
      <c r="G198" t="n">
        <v>60</v>
      </c>
      <c r="H198" s="5" t="n"/>
    </row>
    <row r="199">
      <c r="A199" t="inlineStr">
        <is>
          <t>IA-00198</t>
        </is>
      </c>
      <c r="B199" t="inlineStr">
        <is>
          <t>Database licence (2017)</t>
        </is>
      </c>
      <c r="C199" t="inlineStr">
        <is>
          <t>Software licences</t>
        </is>
      </c>
      <c r="D199" t="inlineStr">
        <is>
          <t>CC-100</t>
        </is>
      </c>
      <c r="E199" s="5" t="n">
        <v>42845</v>
      </c>
      <c r="F199" t="n">
        <v>85405.34</v>
      </c>
      <c r="G199" t="n">
        <v>48</v>
      </c>
      <c r="H199" s="5" t="n"/>
    </row>
    <row r="200">
      <c r="A200" t="inlineStr">
        <is>
          <t>IA-00199</t>
        </is>
      </c>
      <c r="B200" t="inlineStr">
        <is>
          <t>Domain portfolio (2017)</t>
        </is>
      </c>
      <c r="C200" t="inlineStr">
        <is>
          <t>Trademarks and other rights</t>
        </is>
      </c>
      <c r="D200" t="inlineStr">
        <is>
          <t>CC-500</t>
        </is>
      </c>
      <c r="E200" s="5" t="n">
        <v>43081</v>
      </c>
      <c r="F200" t="n">
        <v>14404</v>
      </c>
      <c r="G200" t="n">
        <v>120</v>
      </c>
      <c r="H200" s="5" t="n"/>
    </row>
    <row r="201">
      <c r="A201" t="inlineStr">
        <is>
          <t>IA-00200</t>
        </is>
      </c>
      <c r="B201" t="inlineStr">
        <is>
          <t>Collaboration suite licence (2017)</t>
        </is>
      </c>
      <c r="C201" t="inlineStr">
        <is>
          <t>Software licences</t>
        </is>
      </c>
      <c r="D201" t="inlineStr">
        <is>
          <t>CC-300</t>
        </is>
      </c>
      <c r="E201" s="5" t="n">
        <v>42960</v>
      </c>
      <c r="F201" t="n">
        <v>9179.51</v>
      </c>
      <c r="G201" t="n">
        <v>48</v>
      </c>
      <c r="H201" s="5" t="n"/>
    </row>
    <row r="202">
      <c r="A202" t="inlineStr">
        <is>
          <t>IA-00201</t>
        </is>
      </c>
      <c r="B202" t="inlineStr">
        <is>
          <t>Billing engine module (2018)</t>
        </is>
      </c>
      <c r="C202" t="inlineStr">
        <is>
          <t>Capitalised development</t>
        </is>
      </c>
      <c r="D202" t="inlineStr">
        <is>
          <t>CC-300</t>
        </is>
      </c>
      <c r="E202" s="5" t="n">
        <v>43128</v>
      </c>
      <c r="F202" t="n">
        <v>23752.58</v>
      </c>
      <c r="G202" t="n">
        <v>36</v>
      </c>
      <c r="H202" s="5" t="n"/>
    </row>
    <row r="203">
      <c r="A203" t="inlineStr">
        <is>
          <t>IA-00202</t>
        </is>
      </c>
      <c r="B203" t="inlineStr">
        <is>
          <t>Reporting platform (2019)</t>
        </is>
      </c>
      <c r="C203" t="inlineStr">
        <is>
          <t>Capitalised development</t>
        </is>
      </c>
      <c r="D203" t="inlineStr">
        <is>
          <t>CC-200</t>
        </is>
      </c>
      <c r="E203" s="5" t="n">
        <v>43817</v>
      </c>
      <c r="F203" t="n">
        <v>30480.88</v>
      </c>
      <c r="G203" t="n">
        <v>36</v>
      </c>
      <c r="H203" s="5" t="n"/>
    </row>
    <row r="204">
      <c r="A204" t="inlineStr">
        <is>
          <t>IA-00203</t>
        </is>
      </c>
      <c r="B204" t="inlineStr">
        <is>
          <t>Monitoring tool licence (2022)</t>
        </is>
      </c>
      <c r="C204" t="inlineStr">
        <is>
          <t>Software licences</t>
        </is>
      </c>
      <c r="D204" t="inlineStr">
        <is>
          <t>CC-600</t>
        </is>
      </c>
      <c r="E204" s="5" t="n">
        <v>44604</v>
      </c>
      <c r="F204" t="n">
        <v>201669.13</v>
      </c>
      <c r="G204" t="n">
        <v>36</v>
      </c>
      <c r="H204" s="5" t="n"/>
    </row>
    <row r="205">
      <c r="A205" t="inlineStr">
        <is>
          <t>IA-00204</t>
        </is>
      </c>
      <c r="B205" t="inlineStr">
        <is>
          <t>Content rights package (2023)</t>
        </is>
      </c>
      <c r="C205" t="inlineStr">
        <is>
          <t>Trademarks and other rights</t>
        </is>
      </c>
      <c r="D205" t="inlineStr">
        <is>
          <t>CC-300</t>
        </is>
      </c>
      <c r="E205" s="5" t="n">
        <v>45154</v>
      </c>
      <c r="F205" t="n">
        <v>13033.57</v>
      </c>
      <c r="G205" t="n">
        <v>60</v>
      </c>
      <c r="H205" s="5" t="n"/>
    </row>
    <row r="206">
      <c r="A206" t="inlineStr">
        <is>
          <t>IA-00205</t>
        </is>
      </c>
      <c r="B206" t="inlineStr">
        <is>
          <t>Monitoring tool licence (2020)</t>
        </is>
      </c>
      <c r="C206" t="inlineStr">
        <is>
          <t>Software licences</t>
        </is>
      </c>
      <c r="D206" t="inlineStr">
        <is>
          <t>CC-600</t>
        </is>
      </c>
      <c r="E206" s="5" t="n">
        <v>43985</v>
      </c>
      <c r="F206" t="n">
        <v>6171.52</v>
      </c>
      <c r="G206" t="n">
        <v>60</v>
      </c>
      <c r="H206" s="5" t="n"/>
    </row>
    <row r="207">
      <c r="A207" t="inlineStr">
        <is>
          <t>IA-00206</t>
        </is>
      </c>
      <c r="B207" t="inlineStr">
        <is>
          <t>Mobile app release (2017)</t>
        </is>
      </c>
      <c r="C207" t="inlineStr">
        <is>
          <t>Capitalised development</t>
        </is>
      </c>
      <c r="D207" t="inlineStr">
        <is>
          <t>CC-300</t>
        </is>
      </c>
      <c r="E207" s="5" t="n">
        <v>42853</v>
      </c>
      <c r="F207" t="n">
        <v>52446.33</v>
      </c>
      <c r="G207" t="n">
        <v>36</v>
      </c>
      <c r="H207" s="5" t="n"/>
    </row>
    <row r="208">
      <c r="A208" t="inlineStr">
        <is>
          <t>IA-00207</t>
        </is>
      </c>
      <c r="B208" t="inlineStr">
        <is>
          <t>Patent licence (2020)</t>
        </is>
      </c>
      <c r="C208" t="inlineStr">
        <is>
          <t>Trademarks and other rights</t>
        </is>
      </c>
      <c r="D208" t="inlineStr">
        <is>
          <t>CC-200</t>
        </is>
      </c>
      <c r="E208" s="5" t="n">
        <v>44077</v>
      </c>
      <c r="F208" t="n">
        <v>150564.1</v>
      </c>
      <c r="G208" t="n">
        <v>120</v>
      </c>
      <c r="H208" s="5" t="n"/>
    </row>
    <row r="209">
      <c r="A209" t="inlineStr">
        <is>
          <t>IA-00208</t>
        </is>
      </c>
      <c r="B209" t="inlineStr">
        <is>
          <t>Database licence (2022)</t>
        </is>
      </c>
      <c r="C209" t="inlineStr">
        <is>
          <t>Software licences</t>
        </is>
      </c>
      <c r="D209" t="inlineStr">
        <is>
          <t>CC-100</t>
        </is>
      </c>
      <c r="E209" s="5" t="n">
        <v>44590</v>
      </c>
      <c r="F209" t="n">
        <v>126466.56</v>
      </c>
      <c r="G209" t="n">
        <v>36</v>
      </c>
      <c r="H209" s="5" t="n"/>
    </row>
    <row r="210">
      <c r="A210" t="inlineStr">
        <is>
          <t>IA-00209</t>
        </is>
      </c>
      <c r="B210" t="inlineStr">
        <is>
          <t>Patent licence (2016)</t>
        </is>
      </c>
      <c r="C210" t="inlineStr">
        <is>
          <t>Trademarks and other rights</t>
        </is>
      </c>
      <c r="D210" t="inlineStr">
        <is>
          <t>CC-100</t>
        </is>
      </c>
      <c r="E210" s="5" t="n">
        <v>42722</v>
      </c>
      <c r="F210" t="n">
        <v>272672.5</v>
      </c>
      <c r="G210" t="n">
        <v>60</v>
      </c>
      <c r="H210" s="5" t="n"/>
    </row>
    <row r="211">
      <c r="A211" t="inlineStr">
        <is>
          <t>IA-00210</t>
        </is>
      </c>
      <c r="B211" t="inlineStr">
        <is>
          <t>Duct usage right (2017)</t>
        </is>
      </c>
      <c r="C211" t="inlineStr">
        <is>
          <t>Usage rights</t>
        </is>
      </c>
      <c r="D211" t="inlineStr">
        <is>
          <t>CC-100</t>
        </is>
      </c>
      <c r="E211" s="5" t="n">
        <v>42894</v>
      </c>
      <c r="F211" t="n">
        <v>252121.29</v>
      </c>
      <c r="G211" t="n">
        <v>84</v>
      </c>
      <c r="H211" s="5" t="n"/>
    </row>
    <row r="212">
      <c r="A212" t="inlineStr">
        <is>
          <t>IA-00211</t>
        </is>
      </c>
      <c r="B212" t="inlineStr">
        <is>
          <t>Security software licence (2021)</t>
        </is>
      </c>
      <c r="C212" t="inlineStr">
        <is>
          <t>Software licences</t>
        </is>
      </c>
      <c r="D212" t="inlineStr">
        <is>
          <t>CC-600</t>
        </is>
      </c>
      <c r="E212" s="5" t="n">
        <v>44445</v>
      </c>
      <c r="F212" t="n">
        <v>180035.74</v>
      </c>
      <c r="G212" t="n">
        <v>60</v>
      </c>
      <c r="H212" s="5" t="n"/>
    </row>
    <row r="213">
      <c r="A213" t="inlineStr">
        <is>
          <t>IA-00212</t>
        </is>
      </c>
      <c r="B213" t="inlineStr">
        <is>
          <t>Data warehouse build (2017)</t>
        </is>
      </c>
      <c r="C213" t="inlineStr">
        <is>
          <t>Capitalised development</t>
        </is>
      </c>
      <c r="D213" t="inlineStr">
        <is>
          <t>CC-200</t>
        </is>
      </c>
      <c r="E213" s="5" t="n">
        <v>43095</v>
      </c>
      <c r="F213" t="n">
        <v>50784.44</v>
      </c>
      <c r="G213" t="n">
        <v>36</v>
      </c>
      <c r="H213" s="5" t="n"/>
    </row>
    <row r="214">
      <c r="A214" t="inlineStr">
        <is>
          <t>IA-00213</t>
        </is>
      </c>
      <c r="B214" t="inlineStr">
        <is>
          <t>Domain portfolio (2023)</t>
        </is>
      </c>
      <c r="C214" t="inlineStr">
        <is>
          <t>Trademarks and other rights</t>
        </is>
      </c>
      <c r="D214" t="inlineStr">
        <is>
          <t>CC-400</t>
        </is>
      </c>
      <c r="E214" s="5" t="n">
        <v>44964</v>
      </c>
      <c r="F214" t="n">
        <v>175944.34</v>
      </c>
      <c r="G214" t="n">
        <v>60</v>
      </c>
      <c r="H214" s="5" t="n"/>
    </row>
    <row r="215">
      <c r="A215" t="inlineStr">
        <is>
          <t>IA-00214</t>
        </is>
      </c>
      <c r="B215" t="inlineStr">
        <is>
          <t>Order management feature (2020)</t>
        </is>
      </c>
      <c r="C215" t="inlineStr">
        <is>
          <t>Capitalised development</t>
        </is>
      </c>
      <c r="D215" t="inlineStr">
        <is>
          <t>CC-300</t>
        </is>
      </c>
      <c r="E215" s="5" t="n">
        <v>43937</v>
      </c>
      <c r="F215" t="n">
        <v>104581.56</v>
      </c>
      <c r="G215" t="n">
        <v>36</v>
      </c>
      <c r="H215" s="5" t="n"/>
    </row>
    <row r="216">
      <c r="A216" t="inlineStr">
        <is>
          <t>IA-00215</t>
        </is>
      </c>
      <c r="B216" t="inlineStr">
        <is>
          <t>Monitoring tool licence (2023)</t>
        </is>
      </c>
      <c r="C216" t="inlineStr">
        <is>
          <t>Software licences</t>
        </is>
      </c>
      <c r="D216" t="inlineStr">
        <is>
          <t>CC-600</t>
        </is>
      </c>
      <c r="E216" s="5" t="n">
        <v>45152</v>
      </c>
      <c r="F216" t="n">
        <v>34527.7</v>
      </c>
      <c r="G216" t="n">
        <v>36</v>
      </c>
      <c r="H216" s="5" t="n">
        <v>45224</v>
      </c>
    </row>
    <row r="217">
      <c r="A217" t="inlineStr">
        <is>
          <t>IA-00216</t>
        </is>
      </c>
      <c r="B217" t="inlineStr">
        <is>
          <t>Self-care portal release (2017)</t>
        </is>
      </c>
      <c r="C217" t="inlineStr">
        <is>
          <t>Capitalised development</t>
        </is>
      </c>
      <c r="D217" t="inlineStr">
        <is>
          <t>CC-600</t>
        </is>
      </c>
      <c r="E217" s="5" t="n">
        <v>42976</v>
      </c>
      <c r="F217" t="n">
        <v>52432.18</v>
      </c>
      <c r="G217" t="n">
        <v>36</v>
      </c>
      <c r="H217" s="5" t="n"/>
    </row>
    <row r="218">
      <c r="A218" t="inlineStr">
        <is>
          <t>IA-00217</t>
        </is>
      </c>
      <c r="B218" t="inlineStr">
        <is>
          <t>Collaboration suite licence (2023)</t>
        </is>
      </c>
      <c r="C218" t="inlineStr">
        <is>
          <t>Software licences</t>
        </is>
      </c>
      <c r="D218" t="inlineStr">
        <is>
          <t>CC-400</t>
        </is>
      </c>
      <c r="E218" s="5" t="n">
        <v>45049</v>
      </c>
      <c r="F218" t="n">
        <v>16845.33</v>
      </c>
      <c r="G218" t="n">
        <v>36</v>
      </c>
      <c r="H218" s="5" t="n"/>
    </row>
    <row r="219">
      <c r="A219" t="inlineStr">
        <is>
          <t>IA-00218</t>
        </is>
      </c>
      <c r="B219" t="inlineStr">
        <is>
          <t>Analytics suite licence (2020)</t>
        </is>
      </c>
      <c r="C219" t="inlineStr">
        <is>
          <t>Software licences</t>
        </is>
      </c>
      <c r="D219" t="inlineStr">
        <is>
          <t>CC-600</t>
        </is>
      </c>
      <c r="E219" s="5" t="n">
        <v>43924</v>
      </c>
      <c r="F219" t="n">
        <v>9240.16</v>
      </c>
      <c r="G219" t="n">
        <v>60</v>
      </c>
      <c r="H219" s="5" t="n"/>
    </row>
    <row r="220">
      <c r="A220" t="inlineStr">
        <is>
          <t>IA-00219</t>
        </is>
      </c>
      <c r="B220" t="inlineStr">
        <is>
          <t>Content distribution right (2021)</t>
        </is>
      </c>
      <c r="C220" t="inlineStr">
        <is>
          <t>Usage rights</t>
        </is>
      </c>
      <c r="D220" t="inlineStr">
        <is>
          <t>CC-100</t>
        </is>
      </c>
      <c r="E220" s="5" t="n">
        <v>44536</v>
      </c>
      <c r="F220" t="n">
        <v>312880.13</v>
      </c>
      <c r="G220" t="n">
        <v>180</v>
      </c>
      <c r="H220" s="5" t="n"/>
    </row>
    <row r="221">
      <c r="A221" t="inlineStr">
        <is>
          <t>IA-00220</t>
        </is>
      </c>
      <c r="B221" t="inlineStr">
        <is>
          <t>Collaboration suite licence (2016)</t>
        </is>
      </c>
      <c r="C221" t="inlineStr">
        <is>
          <t>Software licences</t>
        </is>
      </c>
      <c r="D221" t="inlineStr">
        <is>
          <t>CC-100</t>
        </is>
      </c>
      <c r="E221" s="5" t="n">
        <v>42516</v>
      </c>
      <c r="F221" t="n">
        <v>18493.14</v>
      </c>
      <c r="G221" t="n">
        <v>60</v>
      </c>
      <c r="H221" s="5" t="n"/>
    </row>
    <row r="222">
      <c r="A222" t="inlineStr">
        <is>
          <t>IA-00221</t>
        </is>
      </c>
      <c r="B222" t="inlineStr">
        <is>
          <t>Integration layer (2022)</t>
        </is>
      </c>
      <c r="C222" t="inlineStr">
        <is>
          <t>Capitalised development</t>
        </is>
      </c>
      <c r="D222" t="inlineStr">
        <is>
          <t>CC-200</t>
        </is>
      </c>
      <c r="E222" s="5" t="n">
        <v>44563</v>
      </c>
      <c r="F222" t="n">
        <v>410277.73</v>
      </c>
      <c r="G222" t="n">
        <v>36</v>
      </c>
      <c r="H222" s="5" t="n"/>
    </row>
    <row r="223">
      <c r="A223" t="inlineStr">
        <is>
          <t>IA-00222</t>
        </is>
      </c>
      <c r="B223" t="inlineStr">
        <is>
          <t>Collaboration suite licence (2021)</t>
        </is>
      </c>
      <c r="C223" t="inlineStr">
        <is>
          <t>Software licences</t>
        </is>
      </c>
      <c r="D223" t="inlineStr">
        <is>
          <t>CC-400</t>
        </is>
      </c>
      <c r="E223" s="5" t="n">
        <v>44237</v>
      </c>
      <c r="F223" t="n">
        <v>4041.51</v>
      </c>
      <c r="G223" t="n">
        <v>60</v>
      </c>
      <c r="H223" s="5" t="n"/>
    </row>
    <row r="224">
      <c r="A224" t="inlineStr">
        <is>
          <t>IA-00223</t>
        </is>
      </c>
      <c r="B224" t="inlineStr">
        <is>
          <t>Monitoring tool licence (2016)</t>
        </is>
      </c>
      <c r="C224" t="inlineStr">
        <is>
          <t>Software licences</t>
        </is>
      </c>
      <c r="D224" t="inlineStr">
        <is>
          <t>CC-100</t>
        </is>
      </c>
      <c r="E224" s="5" t="n">
        <v>42551</v>
      </c>
      <c r="F224" t="n">
        <v>31046.21</v>
      </c>
      <c r="G224" t="n">
        <v>48</v>
      </c>
      <c r="H224" s="5" t="n">
        <v>44936</v>
      </c>
    </row>
    <row r="225">
      <c r="A225" t="inlineStr">
        <is>
          <t>IA-00224</t>
        </is>
      </c>
      <c r="B225" t="inlineStr">
        <is>
          <t>Self-care portal release (2019)</t>
        </is>
      </c>
      <c r="C225" t="inlineStr">
        <is>
          <t>Capitalised development</t>
        </is>
      </c>
      <c r="D225" t="inlineStr">
        <is>
          <t>CC-400</t>
        </is>
      </c>
      <c r="E225" s="5" t="n">
        <v>43518</v>
      </c>
      <c r="F225" t="n">
        <v>668417.79</v>
      </c>
      <c r="G225" t="n">
        <v>36</v>
      </c>
      <c r="H225" s="5" t="n"/>
    </row>
    <row r="226">
      <c r="A226" t="inlineStr">
        <is>
          <t>IA-00225</t>
        </is>
      </c>
      <c r="B226" t="inlineStr">
        <is>
          <t>Mobile app release (2019)</t>
        </is>
      </c>
      <c r="C226" t="inlineStr">
        <is>
          <t>Capitalised development</t>
        </is>
      </c>
      <c r="D226" t="inlineStr">
        <is>
          <t>CC-400</t>
        </is>
      </c>
      <c r="E226" s="5" t="n">
        <v>43717</v>
      </c>
      <c r="F226" t="n">
        <v>246643.54</v>
      </c>
      <c r="G226" t="n">
        <v>36</v>
      </c>
      <c r="H226" s="5" t="n"/>
    </row>
    <row r="227">
      <c r="A227" t="inlineStr">
        <is>
          <t>IA-00226</t>
        </is>
      </c>
      <c r="B227" t="inlineStr">
        <is>
          <t>Domain portfolio (2018)</t>
        </is>
      </c>
      <c r="C227" t="inlineStr">
        <is>
          <t>Trademarks and other rights</t>
        </is>
      </c>
      <c r="D227" t="inlineStr">
        <is>
          <t>CC-100</t>
        </is>
      </c>
      <c r="E227" s="5" t="n">
        <v>43371</v>
      </c>
      <c r="F227" t="n">
        <v>19228.34</v>
      </c>
      <c r="G227" t="n">
        <v>120</v>
      </c>
      <c r="H227" s="5" t="n"/>
    </row>
    <row r="228">
      <c r="A228" t="inlineStr">
        <is>
          <t>IA-00227</t>
        </is>
      </c>
      <c r="B228" t="inlineStr">
        <is>
          <t>Duct usage right (2016)</t>
        </is>
      </c>
      <c r="C228" t="inlineStr">
        <is>
          <t>Usage rights</t>
        </is>
      </c>
      <c r="D228" t="inlineStr">
        <is>
          <t>CC-600</t>
        </is>
      </c>
      <c r="E228" s="5" t="n">
        <v>42487</v>
      </c>
      <c r="F228" t="n">
        <v>290323.68</v>
      </c>
      <c r="G228" t="n">
        <v>120</v>
      </c>
      <c r="H228" s="5" t="n"/>
    </row>
    <row r="229">
      <c r="A229" t="inlineStr">
        <is>
          <t>IA-00228</t>
        </is>
      </c>
      <c r="B229" t="inlineStr">
        <is>
          <t>Patent licence (2020)</t>
        </is>
      </c>
      <c r="C229" t="inlineStr">
        <is>
          <t>Trademarks and other rights</t>
        </is>
      </c>
      <c r="D229" t="inlineStr">
        <is>
          <t>CC-200</t>
        </is>
      </c>
      <c r="E229" s="5" t="n">
        <v>43922</v>
      </c>
      <c r="F229" t="n">
        <v>114117.63</v>
      </c>
      <c r="G229" t="n">
        <v>60</v>
      </c>
      <c r="H229" s="5" t="n"/>
    </row>
    <row r="230">
      <c r="A230" t="inlineStr">
        <is>
          <t>IA-00229</t>
        </is>
      </c>
      <c r="B230" t="inlineStr">
        <is>
          <t>Domain portfolio (2018)</t>
        </is>
      </c>
      <c r="C230" t="inlineStr">
        <is>
          <t>Trademarks and other rights</t>
        </is>
      </c>
      <c r="D230" t="inlineStr">
        <is>
          <t>CC-300</t>
        </is>
      </c>
      <c r="E230" s="5" t="n">
        <v>43440</v>
      </c>
      <c r="F230" t="n">
        <v>152453.87</v>
      </c>
      <c r="G230" t="n">
        <v>120</v>
      </c>
      <c r="H230" s="5" t="n"/>
    </row>
    <row r="231">
      <c r="A231" t="inlineStr">
        <is>
          <t>IA-00230</t>
        </is>
      </c>
      <c r="B231" t="inlineStr">
        <is>
          <t>Order management feature (2020)</t>
        </is>
      </c>
      <c r="C231" t="inlineStr">
        <is>
          <t>Capitalised development</t>
        </is>
      </c>
      <c r="D231" t="inlineStr">
        <is>
          <t>CC-200</t>
        </is>
      </c>
      <c r="E231" s="5" t="n">
        <v>43857</v>
      </c>
      <c r="F231" t="n">
        <v>631882.7</v>
      </c>
      <c r="G231" t="n">
        <v>48</v>
      </c>
      <c r="H231" s="5" t="n"/>
    </row>
    <row r="232">
      <c r="A232" t="inlineStr">
        <is>
          <t>IA-00231</t>
        </is>
      </c>
      <c r="B232" t="inlineStr">
        <is>
          <t>Order management feature (2018)</t>
        </is>
      </c>
      <c r="C232" t="inlineStr">
        <is>
          <t>Capitalised development</t>
        </is>
      </c>
      <c r="D232" t="inlineStr">
        <is>
          <t>CC-300</t>
        </is>
      </c>
      <c r="E232" s="5" t="n">
        <v>43370</v>
      </c>
      <c r="F232" t="n">
        <v>94580.09</v>
      </c>
      <c r="G232" t="n">
        <v>36</v>
      </c>
      <c r="H232" s="5" t="n"/>
    </row>
    <row r="233">
      <c r="A233" t="inlineStr">
        <is>
          <t>IA-00232</t>
        </is>
      </c>
      <c r="B233" t="inlineStr">
        <is>
          <t>ERP licence (2021)</t>
        </is>
      </c>
      <c r="C233" t="inlineStr">
        <is>
          <t>Software licences</t>
        </is>
      </c>
      <c r="D233" t="inlineStr">
        <is>
          <t>CC-500</t>
        </is>
      </c>
      <c r="E233" s="5" t="n">
        <v>44320</v>
      </c>
      <c r="F233" t="n">
        <v>75003.36</v>
      </c>
      <c r="G233" t="n">
        <v>48</v>
      </c>
      <c r="H233" s="5" t="n"/>
    </row>
    <row r="234">
      <c r="A234" t="inlineStr">
        <is>
          <t>IA-00233</t>
        </is>
      </c>
      <c r="B234" t="inlineStr">
        <is>
          <t>CRM licence (2018)</t>
        </is>
      </c>
      <c r="C234" t="inlineStr">
        <is>
          <t>Software licences</t>
        </is>
      </c>
      <c r="D234" t="inlineStr">
        <is>
          <t>CC-500</t>
        </is>
      </c>
      <c r="E234" s="5" t="n">
        <v>43324</v>
      </c>
      <c r="F234" t="n">
        <v>9687.42</v>
      </c>
      <c r="G234" t="n">
        <v>60</v>
      </c>
      <c r="H234" s="5" t="n"/>
    </row>
    <row r="235">
      <c r="A235" t="inlineStr">
        <is>
          <t>IA-00234</t>
        </is>
      </c>
      <c r="B235" t="inlineStr">
        <is>
          <t>Collaboration suite licence (2021)</t>
        </is>
      </c>
      <c r="C235" t="inlineStr">
        <is>
          <t>Software licences</t>
        </is>
      </c>
      <c r="D235" t="inlineStr">
        <is>
          <t>CC-600</t>
        </is>
      </c>
      <c r="E235" s="5" t="n">
        <v>44321</v>
      </c>
      <c r="F235" t="n">
        <v>7133.19</v>
      </c>
      <c r="G235" t="n">
        <v>36</v>
      </c>
      <c r="H235" s="5" t="n"/>
    </row>
    <row r="236">
      <c r="A236" t="inlineStr">
        <is>
          <t>IA-00235</t>
        </is>
      </c>
      <c r="B236" t="inlineStr">
        <is>
          <t>Collaboration suite licence (2018)</t>
        </is>
      </c>
      <c r="C236" t="inlineStr">
        <is>
          <t>Software licences</t>
        </is>
      </c>
      <c r="D236" t="inlineStr">
        <is>
          <t>CC-600</t>
        </is>
      </c>
      <c r="E236" s="5" t="n">
        <v>43198</v>
      </c>
      <c r="F236" t="n">
        <v>81734.2</v>
      </c>
      <c r="G236" t="n">
        <v>60</v>
      </c>
      <c r="H236" s="5" t="n"/>
    </row>
    <row r="237">
      <c r="A237" t="inlineStr">
        <is>
          <t>IA-00236</t>
        </is>
      </c>
      <c r="B237" t="inlineStr">
        <is>
          <t>Self-care portal release (2021)</t>
        </is>
      </c>
      <c r="C237" t="inlineStr">
        <is>
          <t>Capitalised development</t>
        </is>
      </c>
      <c r="D237" t="inlineStr">
        <is>
          <t>CC-400</t>
        </is>
      </c>
      <c r="E237" s="5" t="n">
        <v>44419</v>
      </c>
      <c r="F237" t="n">
        <v>752338.6</v>
      </c>
      <c r="G237" t="n">
        <v>48</v>
      </c>
      <c r="H237" s="5" t="n"/>
    </row>
    <row r="238">
      <c r="A238" t="inlineStr">
        <is>
          <t>IA-00237</t>
        </is>
      </c>
      <c r="B238" t="inlineStr">
        <is>
          <t>Monitoring tool licence (2021)</t>
        </is>
      </c>
      <c r="C238" t="inlineStr">
        <is>
          <t>Software licences</t>
        </is>
      </c>
      <c r="D238" t="inlineStr">
        <is>
          <t>CC-600</t>
        </is>
      </c>
      <c r="E238" s="5" t="n">
        <v>44197</v>
      </c>
      <c r="F238" t="n">
        <v>16767.04</v>
      </c>
      <c r="G238" t="n">
        <v>48</v>
      </c>
      <c r="H238" s="5" t="n"/>
    </row>
    <row r="239">
      <c r="A239" t="inlineStr">
        <is>
          <t>IA-00238</t>
        </is>
      </c>
      <c r="B239" t="inlineStr">
        <is>
          <t>Data warehouse build (2016)</t>
        </is>
      </c>
      <c r="C239" t="inlineStr">
        <is>
          <t>Capitalised development</t>
        </is>
      </c>
      <c r="D239" t="inlineStr">
        <is>
          <t>CC-500</t>
        </is>
      </c>
      <c r="E239" s="5" t="n">
        <v>42437</v>
      </c>
      <c r="F239" t="n">
        <v>91709.98</v>
      </c>
      <c r="G239" t="n">
        <v>60</v>
      </c>
      <c r="H239" s="5" t="n"/>
    </row>
    <row r="240">
      <c r="A240" t="inlineStr">
        <is>
          <t>IA-00239</t>
        </is>
      </c>
      <c r="B240" t="inlineStr">
        <is>
          <t>Integration layer (2019)</t>
        </is>
      </c>
      <c r="C240" t="inlineStr">
        <is>
          <t>Capitalised development</t>
        </is>
      </c>
      <c r="D240" t="inlineStr">
        <is>
          <t>CC-600</t>
        </is>
      </c>
      <c r="E240" s="5" t="n">
        <v>43667</v>
      </c>
      <c r="F240" t="n">
        <v>705234.55</v>
      </c>
      <c r="G240" t="n">
        <v>36</v>
      </c>
      <c r="H240" s="5" t="n"/>
    </row>
    <row r="241">
      <c r="A241" t="inlineStr">
        <is>
          <t>IA-00240</t>
        </is>
      </c>
      <c r="B241" t="inlineStr">
        <is>
          <t>Data warehouse build (2019)</t>
        </is>
      </c>
      <c r="C241" t="inlineStr">
        <is>
          <t>Capitalised development</t>
        </is>
      </c>
      <c r="D241" t="inlineStr">
        <is>
          <t>CC-500</t>
        </is>
      </c>
      <c r="E241" s="5" t="n">
        <v>43801</v>
      </c>
      <c r="F241" t="n">
        <v>221919.3</v>
      </c>
      <c r="G241" t="n">
        <v>48</v>
      </c>
      <c r="H241" s="5" t="n"/>
    </row>
    <row r="242">
      <c r="A242" t="inlineStr">
        <is>
          <t>IA-00241</t>
        </is>
      </c>
      <c r="B242" t="inlineStr">
        <is>
          <t>Database licence (2023)</t>
        </is>
      </c>
      <c r="C242" t="inlineStr">
        <is>
          <t>Software licences</t>
        </is>
      </c>
      <c r="D242" t="inlineStr">
        <is>
          <t>CC-600</t>
        </is>
      </c>
      <c r="E242" s="5" t="n">
        <v>45036</v>
      </c>
      <c r="F242" t="n">
        <v>249018.56</v>
      </c>
      <c r="G242" t="n">
        <v>60</v>
      </c>
      <c r="H242" s="5" t="n"/>
    </row>
    <row r="243">
      <c r="A243" t="inlineStr">
        <is>
          <t>IA-00242</t>
        </is>
      </c>
      <c r="B243" t="inlineStr">
        <is>
          <t>Reporting platform (2022)</t>
        </is>
      </c>
      <c r="C243" t="inlineStr">
        <is>
          <t>Capitalised development</t>
        </is>
      </c>
      <c r="D243" t="inlineStr">
        <is>
          <t>CC-100</t>
        </is>
      </c>
      <c r="E243" s="5" t="n">
        <v>44604</v>
      </c>
      <c r="F243" t="n">
        <v>364546.96</v>
      </c>
      <c r="G243" t="n">
        <v>48</v>
      </c>
      <c r="H243" s="5" t="n"/>
    </row>
    <row r="244">
      <c r="A244" t="inlineStr">
        <is>
          <t>IA-00243</t>
        </is>
      </c>
      <c r="B244" t="inlineStr">
        <is>
          <t>Mobile app release (2017)</t>
        </is>
      </c>
      <c r="C244" t="inlineStr">
        <is>
          <t>Capitalised development</t>
        </is>
      </c>
      <c r="D244" t="inlineStr">
        <is>
          <t>CC-200</t>
        </is>
      </c>
      <c r="E244" s="5" t="n">
        <v>43071</v>
      </c>
      <c r="F244" t="n">
        <v>232837.62</v>
      </c>
      <c r="G244" t="n">
        <v>36</v>
      </c>
      <c r="H244" s="5" t="n"/>
    </row>
    <row r="245">
      <c r="A245" t="inlineStr">
        <is>
          <t>IA-00244</t>
        </is>
      </c>
      <c r="B245" t="inlineStr">
        <is>
          <t>Self-care portal release (2019)</t>
        </is>
      </c>
      <c r="C245" t="inlineStr">
        <is>
          <t>Capitalised development</t>
        </is>
      </c>
      <c r="D245" t="inlineStr">
        <is>
          <t>CC-400</t>
        </is>
      </c>
      <c r="E245" s="5" t="n">
        <v>43567</v>
      </c>
      <c r="F245" t="n">
        <v>46009.39</v>
      </c>
      <c r="G245" t="n">
        <v>60</v>
      </c>
      <c r="H245" s="5" t="n"/>
    </row>
    <row r="246">
      <c r="A246" t="inlineStr">
        <is>
          <t>IA-00245</t>
        </is>
      </c>
      <c r="B246" t="inlineStr">
        <is>
          <t>Brand licence (2017)</t>
        </is>
      </c>
      <c r="C246" t="inlineStr">
        <is>
          <t>Trademarks and other rights</t>
        </is>
      </c>
      <c r="D246" t="inlineStr">
        <is>
          <t>CC-300</t>
        </is>
      </c>
      <c r="E246" s="5" t="n">
        <v>42860</v>
      </c>
      <c r="F246" t="n">
        <v>10280.8</v>
      </c>
      <c r="G246" t="n">
        <v>60</v>
      </c>
      <c r="H246" s="5" t="n"/>
    </row>
    <row r="247">
      <c r="A247" t="inlineStr">
        <is>
          <t>IA-00246</t>
        </is>
      </c>
      <c r="B247" t="inlineStr">
        <is>
          <t>Content distribution right (2017)</t>
        </is>
      </c>
      <c r="C247" t="inlineStr">
        <is>
          <t>Usage rights</t>
        </is>
      </c>
      <c r="D247" t="inlineStr">
        <is>
          <t>CC-400</t>
        </is>
      </c>
      <c r="E247" s="5" t="n">
        <v>42774</v>
      </c>
      <c r="F247" t="n">
        <v>1034054.61</v>
      </c>
      <c r="G247" t="n">
        <v>60</v>
      </c>
      <c r="H247" s="5" t="n"/>
    </row>
    <row r="248">
      <c r="A248" t="inlineStr">
        <is>
          <t>IA-00247</t>
        </is>
      </c>
      <c r="B248" t="inlineStr">
        <is>
          <t>Collaboration suite licence (2023)</t>
        </is>
      </c>
      <c r="C248" t="inlineStr">
        <is>
          <t>Software licences</t>
        </is>
      </c>
      <c r="D248" t="inlineStr">
        <is>
          <t>CC-100</t>
        </is>
      </c>
      <c r="E248" s="5" t="n">
        <v>45287</v>
      </c>
      <c r="F248" t="n">
        <v>9463.959999999999</v>
      </c>
      <c r="G248" t="n">
        <v>36</v>
      </c>
      <c r="H248" s="5" t="n"/>
    </row>
    <row r="249">
      <c r="A249" t="inlineStr">
        <is>
          <t>IA-00248</t>
        </is>
      </c>
      <c r="B249" t="inlineStr">
        <is>
          <t>Data warehouse build (2023)</t>
        </is>
      </c>
      <c r="C249" t="inlineStr">
        <is>
          <t>Capitalised development</t>
        </is>
      </c>
      <c r="D249" t="inlineStr">
        <is>
          <t>CC-400</t>
        </is>
      </c>
      <c r="E249" s="5" t="n">
        <v>45095</v>
      </c>
      <c r="F249" t="n">
        <v>836634.53</v>
      </c>
      <c r="G249" t="n">
        <v>36</v>
      </c>
      <c r="H249" s="5" t="n"/>
    </row>
    <row r="250">
      <c r="A250" t="inlineStr">
        <is>
          <t>IA-00249</t>
        </is>
      </c>
      <c r="B250" t="inlineStr">
        <is>
          <t>Analytics suite licence (2022)</t>
        </is>
      </c>
      <c r="C250" t="inlineStr">
        <is>
          <t>Software licences</t>
        </is>
      </c>
      <c r="D250" t="inlineStr">
        <is>
          <t>CC-600</t>
        </is>
      </c>
      <c r="E250" s="5" t="n">
        <v>44680</v>
      </c>
      <c r="F250" t="n">
        <v>13416.21</v>
      </c>
      <c r="G250" t="n">
        <v>36</v>
      </c>
      <c r="H250" s="5" t="n"/>
    </row>
    <row r="251">
      <c r="A251" t="inlineStr">
        <is>
          <t>IA-00250</t>
        </is>
      </c>
      <c r="B251" t="inlineStr">
        <is>
          <t>Security software licence (2022)</t>
        </is>
      </c>
      <c r="C251" t="inlineStr">
        <is>
          <t>Software licences</t>
        </is>
      </c>
      <c r="D251" t="inlineStr">
        <is>
          <t>CC-100</t>
        </is>
      </c>
      <c r="E251" s="5" t="n">
        <v>44802</v>
      </c>
      <c r="F251" t="n">
        <v>8801.27</v>
      </c>
      <c r="G251" t="n">
        <v>48</v>
      </c>
      <c r="H251" s="5" t="n"/>
    </row>
    <row r="252">
      <c r="A252" t="inlineStr">
        <is>
          <t>IA-00251</t>
        </is>
      </c>
      <c r="B252" t="inlineStr">
        <is>
          <t>Integration layer (2020)</t>
        </is>
      </c>
      <c r="C252" t="inlineStr">
        <is>
          <t>Capitalised development</t>
        </is>
      </c>
      <c r="D252" t="inlineStr">
        <is>
          <t>CC-400</t>
        </is>
      </c>
      <c r="E252" s="5" t="n">
        <v>43833</v>
      </c>
      <c r="F252" t="n">
        <v>272522.97</v>
      </c>
      <c r="G252" t="n">
        <v>36</v>
      </c>
      <c r="H252" s="5" t="n"/>
    </row>
    <row r="253">
      <c r="A253" t="inlineStr">
        <is>
          <t>IA-00252</t>
        </is>
      </c>
      <c r="B253" t="inlineStr">
        <is>
          <t>Content rights package (2020)</t>
        </is>
      </c>
      <c r="C253" t="inlineStr">
        <is>
          <t>Trademarks and other rights</t>
        </is>
      </c>
      <c r="D253" t="inlineStr">
        <is>
          <t>CC-500</t>
        </is>
      </c>
      <c r="E253" s="5" t="n">
        <v>43879</v>
      </c>
      <c r="F253" t="n">
        <v>14207.4</v>
      </c>
      <c r="G253" t="n">
        <v>120</v>
      </c>
      <c r="H253" s="5" t="n"/>
    </row>
    <row r="254">
      <c r="A254" t="inlineStr">
        <is>
          <t>IA-00253</t>
        </is>
      </c>
      <c r="B254" t="inlineStr">
        <is>
          <t>Brand licence (2018)</t>
        </is>
      </c>
      <c r="C254" t="inlineStr">
        <is>
          <t>Trademarks and other rights</t>
        </is>
      </c>
      <c r="D254" t="inlineStr">
        <is>
          <t>CC-300</t>
        </is>
      </c>
      <c r="E254" s="5" t="n">
        <v>43300</v>
      </c>
      <c r="F254" t="n">
        <v>54813.09</v>
      </c>
      <c r="G254" t="n">
        <v>60</v>
      </c>
      <c r="H254" s="5" t="n"/>
    </row>
    <row r="255">
      <c r="A255" t="inlineStr">
        <is>
          <t>IA-00254</t>
        </is>
      </c>
      <c r="B255" t="inlineStr">
        <is>
          <t>Billing engine module (2018)</t>
        </is>
      </c>
      <c r="C255" t="inlineStr">
        <is>
          <t>Capitalised development</t>
        </is>
      </c>
      <c r="D255" t="inlineStr">
        <is>
          <t>CC-500</t>
        </is>
      </c>
      <c r="E255" s="5" t="n">
        <v>43402</v>
      </c>
      <c r="F255" t="n">
        <v>400751.47</v>
      </c>
      <c r="G255" t="n">
        <v>60</v>
      </c>
      <c r="H255" s="5" t="n"/>
    </row>
    <row r="256">
      <c r="A256" t="inlineStr">
        <is>
          <t>IA-00255</t>
        </is>
      </c>
      <c r="B256" t="inlineStr">
        <is>
          <t>Network capacity right (2019)</t>
        </is>
      </c>
      <c r="C256" t="inlineStr">
        <is>
          <t>Usage rights</t>
        </is>
      </c>
      <c r="D256" t="inlineStr">
        <is>
          <t>CC-500</t>
        </is>
      </c>
      <c r="E256" s="5" t="n">
        <v>43587</v>
      </c>
      <c r="F256" t="n">
        <v>175900.26</v>
      </c>
      <c r="G256" t="n">
        <v>120</v>
      </c>
      <c r="H256" s="5" t="n"/>
    </row>
    <row r="257">
      <c r="A257" t="inlineStr">
        <is>
          <t>IA-00256</t>
        </is>
      </c>
      <c r="B257" t="inlineStr">
        <is>
          <t>Integration layer (2023)</t>
        </is>
      </c>
      <c r="C257" t="inlineStr">
        <is>
          <t>Capitalised development</t>
        </is>
      </c>
      <c r="D257" t="inlineStr">
        <is>
          <t>CC-400</t>
        </is>
      </c>
      <c r="E257" s="5" t="n">
        <v>44979</v>
      </c>
      <c r="F257" t="n">
        <v>34589.29</v>
      </c>
      <c r="G257" t="n">
        <v>60</v>
      </c>
      <c r="H257" s="5" t="n"/>
    </row>
    <row r="258">
      <c r="A258" t="inlineStr">
        <is>
          <t>IA-00257</t>
        </is>
      </c>
      <c r="B258" t="inlineStr">
        <is>
          <t>CRM licence (2017)</t>
        </is>
      </c>
      <c r="C258" t="inlineStr">
        <is>
          <t>Software licences</t>
        </is>
      </c>
      <c r="D258" t="inlineStr">
        <is>
          <t>CC-100</t>
        </is>
      </c>
      <c r="E258" s="5" t="n">
        <v>42818</v>
      </c>
      <c r="F258" t="n">
        <v>43529.29</v>
      </c>
      <c r="G258" t="n">
        <v>48</v>
      </c>
      <c r="H258" s="5" t="n"/>
    </row>
    <row r="259">
      <c r="A259" t="inlineStr">
        <is>
          <t>IA-00258</t>
        </is>
      </c>
      <c r="B259" t="inlineStr">
        <is>
          <t>ERP licence (2019)</t>
        </is>
      </c>
      <c r="C259" t="inlineStr">
        <is>
          <t>Software licences</t>
        </is>
      </c>
      <c r="D259" t="inlineStr">
        <is>
          <t>CC-100</t>
        </is>
      </c>
      <c r="E259" s="5" t="n">
        <v>43644</v>
      </c>
      <c r="F259" t="n">
        <v>127757.32</v>
      </c>
      <c r="G259" t="n">
        <v>36</v>
      </c>
      <c r="H259" s="5" t="n"/>
    </row>
    <row r="260">
      <c r="A260" t="inlineStr">
        <is>
          <t>IA-00259</t>
        </is>
      </c>
      <c r="B260" t="inlineStr">
        <is>
          <t>Billing engine module (2022)</t>
        </is>
      </c>
      <c r="C260" t="inlineStr">
        <is>
          <t>Capitalised development</t>
        </is>
      </c>
      <c r="D260" t="inlineStr">
        <is>
          <t>CC-100</t>
        </is>
      </c>
      <c r="E260" s="5" t="n">
        <v>44775</v>
      </c>
      <c r="F260" t="n">
        <v>37911.51</v>
      </c>
      <c r="G260" t="n">
        <v>36</v>
      </c>
      <c r="H260" s="5" t="n"/>
    </row>
    <row r="261">
      <c r="A261" t="inlineStr">
        <is>
          <t>IA-00260</t>
        </is>
      </c>
      <c r="B261" t="inlineStr">
        <is>
          <t>Content distribution right (2020)</t>
        </is>
      </c>
      <c r="C261" t="inlineStr">
        <is>
          <t>Usage rights</t>
        </is>
      </c>
      <c r="D261" t="inlineStr">
        <is>
          <t>CC-100</t>
        </is>
      </c>
      <c r="E261" s="5" t="n">
        <v>43944</v>
      </c>
      <c r="F261" t="n">
        <v>1232440.69</v>
      </c>
      <c r="G261" t="n">
        <v>60</v>
      </c>
      <c r="H261" s="5" t="n"/>
    </row>
    <row r="262">
      <c r="A262" t="inlineStr">
        <is>
          <t>IA-00261</t>
        </is>
      </c>
      <c r="B262" t="inlineStr">
        <is>
          <t>Database licence (2021)</t>
        </is>
      </c>
      <c r="C262" t="inlineStr">
        <is>
          <t>Software licences</t>
        </is>
      </c>
      <c r="D262" t="inlineStr">
        <is>
          <t>CC-500</t>
        </is>
      </c>
      <c r="E262" s="5" t="n">
        <v>44525</v>
      </c>
      <c r="F262" t="n">
        <v>12648.35</v>
      </c>
      <c r="G262" t="n">
        <v>36</v>
      </c>
      <c r="H262" s="5" t="n"/>
    </row>
    <row r="263">
      <c r="A263" t="inlineStr">
        <is>
          <t>IA-00262</t>
        </is>
      </c>
      <c r="B263" t="inlineStr">
        <is>
          <t>Site access right (2019)</t>
        </is>
      </c>
      <c r="C263" t="inlineStr">
        <is>
          <t>Usage rights</t>
        </is>
      </c>
      <c r="D263" t="inlineStr">
        <is>
          <t>CC-300</t>
        </is>
      </c>
      <c r="E263" s="5" t="n">
        <v>43727</v>
      </c>
      <c r="F263" t="n">
        <v>210876.63</v>
      </c>
      <c r="G263" t="n">
        <v>60</v>
      </c>
      <c r="H263" s="5" t="n"/>
    </row>
    <row r="264">
      <c r="A264" t="inlineStr">
        <is>
          <t>IA-00263</t>
        </is>
      </c>
      <c r="B264" t="inlineStr">
        <is>
          <t>Monitoring tool licence (2022)</t>
        </is>
      </c>
      <c r="C264" t="inlineStr">
        <is>
          <t>Software licences</t>
        </is>
      </c>
      <c r="D264" t="inlineStr">
        <is>
          <t>CC-100</t>
        </is>
      </c>
      <c r="E264" s="5" t="n">
        <v>44565</v>
      </c>
      <c r="F264" t="n">
        <v>6807.46</v>
      </c>
      <c r="G264" t="n">
        <v>48</v>
      </c>
      <c r="H264" s="5" t="n"/>
    </row>
    <row r="265">
      <c r="A265" t="inlineStr">
        <is>
          <t>IA-00264</t>
        </is>
      </c>
      <c r="B265" t="inlineStr">
        <is>
          <t>CRM licence (2022)</t>
        </is>
      </c>
      <c r="C265" t="inlineStr">
        <is>
          <t>Software licences</t>
        </is>
      </c>
      <c r="D265" t="inlineStr">
        <is>
          <t>CC-500</t>
        </is>
      </c>
      <c r="E265" s="5" t="n">
        <v>44775</v>
      </c>
      <c r="F265" t="n">
        <v>23766.38</v>
      </c>
      <c r="G265" t="n">
        <v>60</v>
      </c>
      <c r="H265" s="5" t="n"/>
    </row>
    <row r="266">
      <c r="A266" t="inlineStr">
        <is>
          <t>IA-00265</t>
        </is>
      </c>
      <c r="B266" t="inlineStr">
        <is>
          <t>Collaboration suite licence (2021)</t>
        </is>
      </c>
      <c r="C266" t="inlineStr">
        <is>
          <t>Software licences</t>
        </is>
      </c>
      <c r="D266" t="inlineStr">
        <is>
          <t>CC-300</t>
        </is>
      </c>
      <c r="E266" s="5" t="n">
        <v>44279</v>
      </c>
      <c r="F266" t="n">
        <v>29750.64</v>
      </c>
      <c r="G266" t="n">
        <v>36</v>
      </c>
      <c r="H266" s="5" t="n"/>
    </row>
    <row r="267">
      <c r="A267" t="inlineStr">
        <is>
          <t>IA-00266</t>
        </is>
      </c>
      <c r="B267" t="inlineStr">
        <is>
          <t>Content rights package (2022)</t>
        </is>
      </c>
      <c r="C267" t="inlineStr">
        <is>
          <t>Trademarks and other rights</t>
        </is>
      </c>
      <c r="D267" t="inlineStr">
        <is>
          <t>CC-400</t>
        </is>
      </c>
      <c r="E267" s="5" t="n">
        <v>44920</v>
      </c>
      <c r="F267" t="n">
        <v>20327.18</v>
      </c>
      <c r="G267" t="n">
        <v>60</v>
      </c>
      <c r="H267" s="5" t="n"/>
    </row>
    <row r="268">
      <c r="A268" t="inlineStr">
        <is>
          <t>IA-00267</t>
        </is>
      </c>
      <c r="B268" t="inlineStr">
        <is>
          <t>Billing engine module (2018)</t>
        </is>
      </c>
      <c r="C268" t="inlineStr">
        <is>
          <t>Capitalised development</t>
        </is>
      </c>
      <c r="D268" t="inlineStr">
        <is>
          <t>CC-400</t>
        </is>
      </c>
      <c r="E268" s="5" t="n">
        <v>43214</v>
      </c>
      <c r="F268" t="n">
        <v>327858.75</v>
      </c>
      <c r="G268" t="n">
        <v>60</v>
      </c>
      <c r="H268" s="5" t="n"/>
    </row>
    <row r="269">
      <c r="A269" t="inlineStr">
        <is>
          <t>IA-00268</t>
        </is>
      </c>
      <c r="B269" t="inlineStr">
        <is>
          <t>Site access right (2021)</t>
        </is>
      </c>
      <c r="C269" t="inlineStr">
        <is>
          <t>Usage rights</t>
        </is>
      </c>
      <c r="D269" t="inlineStr">
        <is>
          <t>CC-400</t>
        </is>
      </c>
      <c r="E269" s="5" t="n">
        <v>44446</v>
      </c>
      <c r="F269" t="n">
        <v>55478.52</v>
      </c>
      <c r="G269" t="n">
        <v>60</v>
      </c>
      <c r="H269" s="5" t="n"/>
    </row>
    <row r="270">
      <c r="A270" t="inlineStr">
        <is>
          <t>IA-00269</t>
        </is>
      </c>
      <c r="B270" t="inlineStr">
        <is>
          <t>Data warehouse build (2019)</t>
        </is>
      </c>
      <c r="C270" t="inlineStr">
        <is>
          <t>Capitalised development</t>
        </is>
      </c>
      <c r="D270" t="inlineStr">
        <is>
          <t>CC-300</t>
        </is>
      </c>
      <c r="E270" s="5" t="n">
        <v>43790</v>
      </c>
      <c r="F270" t="n">
        <v>53848.12</v>
      </c>
      <c r="G270" t="n">
        <v>36</v>
      </c>
      <c r="H270" s="5" t="n"/>
    </row>
    <row r="271">
      <c r="A271" t="inlineStr">
        <is>
          <t>IA-00270</t>
        </is>
      </c>
      <c r="B271" t="inlineStr">
        <is>
          <t>Content distribution right (2020)</t>
        </is>
      </c>
      <c r="C271" t="inlineStr">
        <is>
          <t>Usage rights</t>
        </is>
      </c>
      <c r="D271" t="inlineStr">
        <is>
          <t>CC-500</t>
        </is>
      </c>
      <c r="E271" s="5" t="n">
        <v>44009</v>
      </c>
      <c r="F271" t="n">
        <v>225788.17</v>
      </c>
      <c r="G271" t="n">
        <v>84</v>
      </c>
      <c r="H271" s="5" t="n"/>
    </row>
    <row r="272">
      <c r="A272" t="inlineStr">
        <is>
          <t>IA-00271</t>
        </is>
      </c>
      <c r="B272" t="inlineStr">
        <is>
          <t>Mobile app release (2018)</t>
        </is>
      </c>
      <c r="C272" t="inlineStr">
        <is>
          <t>Capitalised development</t>
        </is>
      </c>
      <c r="D272" t="inlineStr">
        <is>
          <t>CC-500</t>
        </is>
      </c>
      <c r="E272" s="5" t="n">
        <v>43289</v>
      </c>
      <c r="F272" t="n">
        <v>171237.6</v>
      </c>
      <c r="G272" t="n">
        <v>60</v>
      </c>
      <c r="H272" s="5" t="n"/>
    </row>
    <row r="273">
      <c r="A273" t="inlineStr">
        <is>
          <t>IA-00272</t>
        </is>
      </c>
      <c r="B273" t="inlineStr">
        <is>
          <t>ERP licence (2017)</t>
        </is>
      </c>
      <c r="C273" t="inlineStr">
        <is>
          <t>Software licences</t>
        </is>
      </c>
      <c r="D273" t="inlineStr">
        <is>
          <t>CC-500</t>
        </is>
      </c>
      <c r="E273" s="5" t="n">
        <v>42990</v>
      </c>
      <c r="F273" t="n">
        <v>218377.82</v>
      </c>
      <c r="G273" t="n">
        <v>48</v>
      </c>
      <c r="H273" s="5" t="n"/>
    </row>
    <row r="274">
      <c r="A274" t="inlineStr">
        <is>
          <t>IA-00273</t>
        </is>
      </c>
      <c r="B274" t="inlineStr">
        <is>
          <t>Monitoring tool licence (2023)</t>
        </is>
      </c>
      <c r="C274" t="inlineStr">
        <is>
          <t>Software licences</t>
        </is>
      </c>
      <c r="D274" t="inlineStr">
        <is>
          <t>CC-300</t>
        </is>
      </c>
      <c r="E274" s="5" t="n">
        <v>44971</v>
      </c>
      <c r="F274" t="n">
        <v>32712.84</v>
      </c>
      <c r="G274" t="n">
        <v>60</v>
      </c>
      <c r="H274" s="5" t="n"/>
    </row>
    <row r="275">
      <c r="A275" t="inlineStr">
        <is>
          <t>IA-00274</t>
        </is>
      </c>
      <c r="B275" t="inlineStr">
        <is>
          <t>Collaboration suite licence (2017)</t>
        </is>
      </c>
      <c r="C275" t="inlineStr">
        <is>
          <t>Software licences</t>
        </is>
      </c>
      <c r="D275" t="inlineStr">
        <is>
          <t>CC-300</t>
        </is>
      </c>
      <c r="E275" s="5" t="n">
        <v>42998</v>
      </c>
      <c r="F275" t="n">
        <v>54907.62</v>
      </c>
      <c r="G275" t="n">
        <v>36</v>
      </c>
      <c r="H275" s="5" t="n">
        <v>43549</v>
      </c>
    </row>
    <row r="276">
      <c r="A276" t="inlineStr">
        <is>
          <t>IA-00275</t>
        </is>
      </c>
      <c r="B276" t="inlineStr">
        <is>
          <t>Data warehouse build (2017)</t>
        </is>
      </c>
      <c r="C276" t="inlineStr">
        <is>
          <t>Capitalised development</t>
        </is>
      </c>
      <c r="D276" t="inlineStr">
        <is>
          <t>CC-200</t>
        </is>
      </c>
      <c r="E276" s="5" t="n">
        <v>42995</v>
      </c>
      <c r="F276" t="n">
        <v>29171.42</v>
      </c>
      <c r="G276" t="n">
        <v>36</v>
      </c>
      <c r="H276" s="5" t="n"/>
    </row>
    <row r="277">
      <c r="A277" t="inlineStr">
        <is>
          <t>IA-00276</t>
        </is>
      </c>
      <c r="B277" t="inlineStr">
        <is>
          <t>Database licence (2017)</t>
        </is>
      </c>
      <c r="C277" t="inlineStr">
        <is>
          <t>Software licences</t>
        </is>
      </c>
      <c r="D277" t="inlineStr">
        <is>
          <t>CC-200</t>
        </is>
      </c>
      <c r="E277" s="5" t="n">
        <v>42763</v>
      </c>
      <c r="F277" t="n">
        <v>187384.79</v>
      </c>
      <c r="G277" t="n">
        <v>36</v>
      </c>
      <c r="H277" s="5" t="n"/>
    </row>
    <row r="278">
      <c r="A278" t="inlineStr">
        <is>
          <t>IA-00277</t>
        </is>
      </c>
      <c r="B278" t="inlineStr">
        <is>
          <t>Database licence (2016)</t>
        </is>
      </c>
      <c r="C278" t="inlineStr">
        <is>
          <t>Software licences</t>
        </is>
      </c>
      <c r="D278" t="inlineStr">
        <is>
          <t>CC-200</t>
        </is>
      </c>
      <c r="E278" s="5" t="n">
        <v>42531</v>
      </c>
      <c r="F278" t="n">
        <v>19773.1</v>
      </c>
      <c r="G278" t="n">
        <v>60</v>
      </c>
      <c r="H278" s="5" t="n"/>
    </row>
    <row r="279">
      <c r="A279" t="inlineStr">
        <is>
          <t>IA-00278</t>
        </is>
      </c>
      <c r="B279" t="inlineStr">
        <is>
          <t>Security software licence (2023)</t>
        </is>
      </c>
      <c r="C279" t="inlineStr">
        <is>
          <t>Software licences</t>
        </is>
      </c>
      <c r="D279" t="inlineStr">
        <is>
          <t>CC-500</t>
        </is>
      </c>
      <c r="E279" s="5" t="n">
        <v>44965</v>
      </c>
      <c r="F279" t="n">
        <v>255552.45</v>
      </c>
      <c r="G279" t="n">
        <v>36</v>
      </c>
      <c r="H279" s="5" t="n">
        <v>45117</v>
      </c>
    </row>
    <row r="280">
      <c r="A280" t="inlineStr">
        <is>
          <t>IA-00279</t>
        </is>
      </c>
      <c r="B280" t="inlineStr">
        <is>
          <t>Database licence (2016)</t>
        </is>
      </c>
      <c r="C280" t="inlineStr">
        <is>
          <t>Software licences</t>
        </is>
      </c>
      <c r="D280" t="inlineStr">
        <is>
          <t>CC-100</t>
        </is>
      </c>
      <c r="E280" s="5" t="n">
        <v>42706</v>
      </c>
      <c r="F280" t="n">
        <v>63865.82</v>
      </c>
      <c r="G280" t="n">
        <v>36</v>
      </c>
      <c r="H280" s="5" t="n"/>
    </row>
    <row r="281">
      <c r="A281" t="inlineStr">
        <is>
          <t>IA-00280</t>
        </is>
      </c>
      <c r="B281" t="inlineStr">
        <is>
          <t>Content distribution right (2022)</t>
        </is>
      </c>
      <c r="C281" t="inlineStr">
        <is>
          <t>Usage rights</t>
        </is>
      </c>
      <c r="D281" t="inlineStr">
        <is>
          <t>CC-100</t>
        </is>
      </c>
      <c r="E281" s="5" t="n">
        <v>44765</v>
      </c>
      <c r="F281" t="n">
        <v>391499.36</v>
      </c>
      <c r="G281" t="n">
        <v>180</v>
      </c>
      <c r="H281" s="5" t="n">
        <v>45010</v>
      </c>
    </row>
    <row r="282">
      <c r="A282" t="inlineStr">
        <is>
          <t>IA-00281</t>
        </is>
      </c>
      <c r="B282" t="inlineStr">
        <is>
          <t>Analytics suite licence (2019)</t>
        </is>
      </c>
      <c r="C282" t="inlineStr">
        <is>
          <t>Software licences</t>
        </is>
      </c>
      <c r="D282" t="inlineStr">
        <is>
          <t>CC-600</t>
        </is>
      </c>
      <c r="E282" s="5" t="n">
        <v>43542</v>
      </c>
      <c r="F282" t="n">
        <v>17027.37</v>
      </c>
      <c r="G282" t="n">
        <v>36</v>
      </c>
      <c r="H282" s="5" t="n"/>
    </row>
    <row r="283">
      <c r="A283" t="inlineStr">
        <is>
          <t>IA-00282</t>
        </is>
      </c>
      <c r="B283" t="inlineStr">
        <is>
          <t>Site access right (2017)</t>
        </is>
      </c>
      <c r="C283" t="inlineStr">
        <is>
          <t>Usage rights</t>
        </is>
      </c>
      <c r="D283" t="inlineStr">
        <is>
          <t>CC-200</t>
        </is>
      </c>
      <c r="E283" s="5" t="n">
        <v>42867</v>
      </c>
      <c r="F283" t="n">
        <v>2299535.19</v>
      </c>
      <c r="G283" t="n">
        <v>84</v>
      </c>
      <c r="H283" s="5" t="n">
        <v>44700</v>
      </c>
    </row>
    <row r="284">
      <c r="A284" t="inlineStr">
        <is>
          <t>IA-00283</t>
        </is>
      </c>
      <c r="B284" t="inlineStr">
        <is>
          <t>Integration layer (2023)</t>
        </is>
      </c>
      <c r="C284" t="inlineStr">
        <is>
          <t>Capitalised development</t>
        </is>
      </c>
      <c r="D284" t="inlineStr">
        <is>
          <t>CC-300</t>
        </is>
      </c>
      <c r="E284" s="5" t="n">
        <v>45206</v>
      </c>
      <c r="F284" t="n">
        <v>85204.3</v>
      </c>
      <c r="G284" t="n">
        <v>60</v>
      </c>
      <c r="H284" s="5" t="n"/>
    </row>
    <row r="285">
      <c r="A285" t="inlineStr">
        <is>
          <t>IA-00284</t>
        </is>
      </c>
      <c r="B285" t="inlineStr">
        <is>
          <t>Security software licence (2018)</t>
        </is>
      </c>
      <c r="C285" t="inlineStr">
        <is>
          <t>Software licences</t>
        </is>
      </c>
      <c r="D285" t="inlineStr">
        <is>
          <t>CC-600</t>
        </is>
      </c>
      <c r="E285" s="5" t="n">
        <v>43308</v>
      </c>
      <c r="F285" t="n">
        <v>9490.129999999999</v>
      </c>
      <c r="G285" t="n">
        <v>36</v>
      </c>
      <c r="H285" s="5" t="n"/>
    </row>
    <row r="286">
      <c r="A286" t="inlineStr">
        <is>
          <t>IA-00285</t>
        </is>
      </c>
      <c r="B286" t="inlineStr">
        <is>
          <t>Patent licence (2020)</t>
        </is>
      </c>
      <c r="C286" t="inlineStr">
        <is>
          <t>Trademarks and other rights</t>
        </is>
      </c>
      <c r="D286" t="inlineStr">
        <is>
          <t>CC-300</t>
        </is>
      </c>
      <c r="E286" s="5" t="n">
        <v>44092</v>
      </c>
      <c r="F286" t="n">
        <v>37550.47</v>
      </c>
      <c r="G286" t="n">
        <v>60</v>
      </c>
      <c r="H286" s="5" t="n"/>
    </row>
    <row r="287">
      <c r="A287" t="inlineStr">
        <is>
          <t>IA-00286</t>
        </is>
      </c>
      <c r="B287" t="inlineStr">
        <is>
          <t>Order management feature (2023)</t>
        </is>
      </c>
      <c r="C287" t="inlineStr">
        <is>
          <t>Capitalised development</t>
        </is>
      </c>
      <c r="D287" t="inlineStr">
        <is>
          <t>CC-500</t>
        </is>
      </c>
      <c r="E287" s="5" t="n">
        <v>45078</v>
      </c>
      <c r="F287" t="n">
        <v>696807.6899999999</v>
      </c>
      <c r="G287" t="n">
        <v>48</v>
      </c>
      <c r="H287" s="5" t="n"/>
    </row>
    <row r="288">
      <c r="A288" t="inlineStr">
        <is>
          <t>IA-00287</t>
        </is>
      </c>
      <c r="B288" t="inlineStr">
        <is>
          <t>Database licence (2019)</t>
        </is>
      </c>
      <c r="C288" t="inlineStr">
        <is>
          <t>Software licences</t>
        </is>
      </c>
      <c r="D288" t="inlineStr">
        <is>
          <t>CC-300</t>
        </is>
      </c>
      <c r="E288" s="5" t="n">
        <v>43687</v>
      </c>
      <c r="F288" t="n">
        <v>50698.24</v>
      </c>
      <c r="G288" t="n">
        <v>36</v>
      </c>
      <c r="H288" s="5" t="n"/>
    </row>
    <row r="289">
      <c r="A289" t="inlineStr">
        <is>
          <t>IA-00288</t>
        </is>
      </c>
      <c r="B289" t="inlineStr">
        <is>
          <t>Mobile app release (2018)</t>
        </is>
      </c>
      <c r="C289" t="inlineStr">
        <is>
          <t>Capitalised development</t>
        </is>
      </c>
      <c r="D289" t="inlineStr">
        <is>
          <t>CC-100</t>
        </is>
      </c>
      <c r="E289" s="5" t="n">
        <v>43307</v>
      </c>
      <c r="F289" t="n">
        <v>74575.55</v>
      </c>
      <c r="G289" t="n">
        <v>48</v>
      </c>
      <c r="H289" s="5" t="n"/>
    </row>
    <row r="290">
      <c r="A290" t="inlineStr">
        <is>
          <t>IA-00289</t>
        </is>
      </c>
      <c r="B290" t="inlineStr">
        <is>
          <t>Collaboration suite licence (2017)</t>
        </is>
      </c>
      <c r="C290" t="inlineStr">
        <is>
          <t>Software licences</t>
        </is>
      </c>
      <c r="D290" t="inlineStr">
        <is>
          <t>CC-300</t>
        </is>
      </c>
      <c r="E290" s="5" t="n">
        <v>42855</v>
      </c>
      <c r="F290" t="n">
        <v>101473.54</v>
      </c>
      <c r="G290" t="n">
        <v>60</v>
      </c>
      <c r="H290" s="5" t="n"/>
    </row>
    <row r="291">
      <c r="A291" t="inlineStr">
        <is>
          <t>IA-00290</t>
        </is>
      </c>
      <c r="B291" t="inlineStr">
        <is>
          <t>Self-care portal release (2022)</t>
        </is>
      </c>
      <c r="C291" t="inlineStr">
        <is>
          <t>Capitalised development</t>
        </is>
      </c>
      <c r="D291" t="inlineStr">
        <is>
          <t>CC-400</t>
        </is>
      </c>
      <c r="E291" s="5" t="n">
        <v>44577</v>
      </c>
      <c r="F291" t="n">
        <v>53284.86</v>
      </c>
      <c r="G291" t="n">
        <v>60</v>
      </c>
      <c r="H291" s="5" t="n"/>
    </row>
    <row r="292">
      <c r="A292" t="inlineStr">
        <is>
          <t>IA-00291</t>
        </is>
      </c>
      <c r="B292" t="inlineStr">
        <is>
          <t>Content rights package (2020)</t>
        </is>
      </c>
      <c r="C292" t="inlineStr">
        <is>
          <t>Trademarks and other rights</t>
        </is>
      </c>
      <c r="D292" t="inlineStr">
        <is>
          <t>CC-100</t>
        </is>
      </c>
      <c r="E292" s="5" t="n">
        <v>44115</v>
      </c>
      <c r="F292" t="n">
        <v>117949</v>
      </c>
      <c r="G292" t="n">
        <v>120</v>
      </c>
      <c r="H292" s="5" t="n"/>
    </row>
    <row r="293">
      <c r="A293" t="inlineStr">
        <is>
          <t>IA-00292</t>
        </is>
      </c>
      <c r="B293" t="inlineStr">
        <is>
          <t>Collaboration suite licence (2023)</t>
        </is>
      </c>
      <c r="C293" t="inlineStr">
        <is>
          <t>Software licences</t>
        </is>
      </c>
      <c r="D293" t="inlineStr">
        <is>
          <t>CC-600</t>
        </is>
      </c>
      <c r="E293" s="5" t="n">
        <v>45069</v>
      </c>
      <c r="F293" t="n">
        <v>53264.64</v>
      </c>
      <c r="G293" t="n">
        <v>36</v>
      </c>
      <c r="H293" s="5" t="n">
        <v>45285</v>
      </c>
    </row>
    <row r="294">
      <c r="A294" t="inlineStr">
        <is>
          <t>IA-00293</t>
        </is>
      </c>
      <c r="B294" t="inlineStr">
        <is>
          <t>ERP licence (2021)</t>
        </is>
      </c>
      <c r="C294" t="inlineStr">
        <is>
          <t>Software licences</t>
        </is>
      </c>
      <c r="D294" t="inlineStr">
        <is>
          <t>CC-100</t>
        </is>
      </c>
      <c r="E294" s="5" t="n">
        <v>44358</v>
      </c>
      <c r="F294" t="n">
        <v>49518.31</v>
      </c>
      <c r="G294" t="n">
        <v>48</v>
      </c>
      <c r="H294" s="5" t="n"/>
    </row>
    <row r="295">
      <c r="A295" t="inlineStr">
        <is>
          <t>IA-00294</t>
        </is>
      </c>
      <c r="B295" t="inlineStr">
        <is>
          <t>Patent licence (2019)</t>
        </is>
      </c>
      <c r="C295" t="inlineStr">
        <is>
          <t>Trademarks and other rights</t>
        </is>
      </c>
      <c r="D295" t="inlineStr">
        <is>
          <t>CC-300</t>
        </is>
      </c>
      <c r="E295" s="5" t="n">
        <v>43820</v>
      </c>
      <c r="F295" t="n">
        <v>55740.56</v>
      </c>
      <c r="G295" t="n">
        <v>60</v>
      </c>
      <c r="H295" s="5" t="n"/>
    </row>
    <row r="296">
      <c r="A296" t="inlineStr">
        <is>
          <t>IA-00295</t>
        </is>
      </c>
      <c r="B296" t="inlineStr">
        <is>
          <t>Content distribution right (2018)</t>
        </is>
      </c>
      <c r="C296" t="inlineStr">
        <is>
          <t>Usage rights</t>
        </is>
      </c>
      <c r="D296" t="inlineStr">
        <is>
          <t>CC-300</t>
        </is>
      </c>
      <c r="E296" s="5" t="n">
        <v>43336</v>
      </c>
      <c r="F296" t="n">
        <v>1555833.2</v>
      </c>
      <c r="G296" t="n">
        <v>180</v>
      </c>
      <c r="H296" s="5" t="n"/>
    </row>
    <row r="297">
      <c r="A297" t="inlineStr">
        <is>
          <t>IA-00296</t>
        </is>
      </c>
      <c r="B297" t="inlineStr">
        <is>
          <t>Analytics suite licence (2017)</t>
        </is>
      </c>
      <c r="C297" t="inlineStr">
        <is>
          <t>Software licences</t>
        </is>
      </c>
      <c r="D297" t="inlineStr">
        <is>
          <t>CC-100</t>
        </is>
      </c>
      <c r="E297" s="5" t="n">
        <v>42839</v>
      </c>
      <c r="F297" t="n">
        <v>127919.68</v>
      </c>
      <c r="G297" t="n">
        <v>48</v>
      </c>
      <c r="H297" s="5" t="n"/>
    </row>
    <row r="298">
      <c r="A298" t="inlineStr">
        <is>
          <t>IA-00297</t>
        </is>
      </c>
      <c r="B298" t="inlineStr">
        <is>
          <t>Integration layer (2023)</t>
        </is>
      </c>
      <c r="C298" t="inlineStr">
        <is>
          <t>Capitalised development</t>
        </is>
      </c>
      <c r="D298" t="inlineStr">
        <is>
          <t>CC-600</t>
        </is>
      </c>
      <c r="E298" s="5" t="n">
        <v>45190</v>
      </c>
      <c r="F298" t="n">
        <v>783488.03</v>
      </c>
      <c r="G298" t="n">
        <v>60</v>
      </c>
      <c r="H298" s="5" t="n"/>
    </row>
    <row r="299">
      <c r="A299" t="inlineStr">
        <is>
          <t>IA-00298</t>
        </is>
      </c>
      <c r="B299" t="inlineStr">
        <is>
          <t>Self-care portal release (2023)</t>
        </is>
      </c>
      <c r="C299" t="inlineStr">
        <is>
          <t>Capitalised development</t>
        </is>
      </c>
      <c r="D299" t="inlineStr">
        <is>
          <t>CC-100</t>
        </is>
      </c>
      <c r="E299" s="5" t="n">
        <v>44935</v>
      </c>
      <c r="F299" t="n">
        <v>83195.24000000001</v>
      </c>
      <c r="G299" t="n">
        <v>36</v>
      </c>
      <c r="H299" s="5" t="n"/>
    </row>
    <row r="300">
      <c r="A300" t="inlineStr">
        <is>
          <t>IA-00299</t>
        </is>
      </c>
      <c r="B300" t="inlineStr">
        <is>
          <t>Site access right (2019)</t>
        </is>
      </c>
      <c r="C300" t="inlineStr">
        <is>
          <t>Usage rights</t>
        </is>
      </c>
      <c r="D300" t="inlineStr">
        <is>
          <t>CC-600</t>
        </is>
      </c>
      <c r="E300" s="5" t="n">
        <v>43777</v>
      </c>
      <c r="F300" t="n">
        <v>454837.47</v>
      </c>
      <c r="G300" t="n">
        <v>120</v>
      </c>
      <c r="H300" s="5" t="n"/>
    </row>
    <row r="301">
      <c r="A301" t="inlineStr">
        <is>
          <t>IA-00300</t>
        </is>
      </c>
      <c r="B301" t="inlineStr">
        <is>
          <t>Security software licence (2018)</t>
        </is>
      </c>
      <c r="C301" t="inlineStr">
        <is>
          <t>Software licences</t>
        </is>
      </c>
      <c r="D301" t="inlineStr">
        <is>
          <t>CC-100</t>
        </is>
      </c>
      <c r="E301" s="5" t="n">
        <v>43451</v>
      </c>
      <c r="F301" t="n">
        <v>25886.9</v>
      </c>
      <c r="G301" t="n">
        <v>36</v>
      </c>
      <c r="H301" s="5" t="n"/>
    </row>
    <row r="302">
      <c r="A302" t="inlineStr">
        <is>
          <t>IA-00301</t>
        </is>
      </c>
      <c r="B302" t="inlineStr">
        <is>
          <t>Site access right (2022)</t>
        </is>
      </c>
      <c r="C302" t="inlineStr">
        <is>
          <t>Usage rights</t>
        </is>
      </c>
      <c r="D302" t="inlineStr">
        <is>
          <t>CC-200</t>
        </is>
      </c>
      <c r="E302" s="5" t="n">
        <v>44817</v>
      </c>
      <c r="F302" t="n">
        <v>152108.05</v>
      </c>
      <c r="G302" t="n">
        <v>120</v>
      </c>
      <c r="H302" s="5" t="n"/>
    </row>
    <row r="303">
      <c r="A303" t="inlineStr">
        <is>
          <t>IA-00302</t>
        </is>
      </c>
      <c r="B303" t="inlineStr">
        <is>
          <t>Collaboration suite licence (2020)</t>
        </is>
      </c>
      <c r="C303" t="inlineStr">
        <is>
          <t>Software licences</t>
        </is>
      </c>
      <c r="D303" t="inlineStr">
        <is>
          <t>CC-300</t>
        </is>
      </c>
      <c r="E303" s="5" t="n">
        <v>43890</v>
      </c>
      <c r="F303" t="n">
        <v>31806.95</v>
      </c>
      <c r="G303" t="n">
        <v>60</v>
      </c>
      <c r="H303" s="5" t="n"/>
    </row>
    <row r="304">
      <c r="A304" t="inlineStr">
        <is>
          <t>IA-00303</t>
        </is>
      </c>
      <c r="B304" t="inlineStr">
        <is>
          <t>Monitoring tool licence (2021)</t>
        </is>
      </c>
      <c r="C304" t="inlineStr">
        <is>
          <t>Software licences</t>
        </is>
      </c>
      <c r="D304" t="inlineStr">
        <is>
          <t>CC-400</t>
        </is>
      </c>
      <c r="E304" s="5" t="n">
        <v>44322</v>
      </c>
      <c r="F304" t="n">
        <v>21561.57</v>
      </c>
      <c r="G304" t="n">
        <v>36</v>
      </c>
      <c r="H304" s="5" t="n"/>
    </row>
    <row r="305">
      <c r="A305" t="inlineStr">
        <is>
          <t>IA-00304</t>
        </is>
      </c>
      <c r="B305" t="inlineStr">
        <is>
          <t>Billing engine module (2020)</t>
        </is>
      </c>
      <c r="C305" t="inlineStr">
        <is>
          <t>Capitalised development</t>
        </is>
      </c>
      <c r="D305" t="inlineStr">
        <is>
          <t>CC-300</t>
        </is>
      </c>
      <c r="E305" s="5" t="n">
        <v>43896</v>
      </c>
      <c r="F305" t="n">
        <v>45222.76</v>
      </c>
      <c r="G305" t="n">
        <v>36</v>
      </c>
      <c r="H305" s="5" t="n"/>
    </row>
    <row r="306">
      <c r="A306" t="inlineStr">
        <is>
          <t>IA-00305</t>
        </is>
      </c>
      <c r="B306" t="inlineStr">
        <is>
          <t>Analytics suite licence (2018)</t>
        </is>
      </c>
      <c r="C306" t="inlineStr">
        <is>
          <t>Software licences</t>
        </is>
      </c>
      <c r="D306" t="inlineStr">
        <is>
          <t>CC-600</t>
        </is>
      </c>
      <c r="E306" s="5" t="n">
        <v>43375</v>
      </c>
      <c r="F306" t="n">
        <v>6166.89</v>
      </c>
      <c r="G306" t="n">
        <v>36</v>
      </c>
      <c r="H306" s="5" t="n"/>
    </row>
    <row r="307">
      <c r="A307" t="inlineStr">
        <is>
          <t>IA-00306</t>
        </is>
      </c>
      <c r="B307" t="inlineStr">
        <is>
          <t>Duct usage right (2023)</t>
        </is>
      </c>
      <c r="C307" t="inlineStr">
        <is>
          <t>Usage rights</t>
        </is>
      </c>
      <c r="D307" t="inlineStr">
        <is>
          <t>CC-400</t>
        </is>
      </c>
      <c r="E307" s="5" t="n">
        <v>45217</v>
      </c>
      <c r="F307" t="n">
        <v>68570.42</v>
      </c>
      <c r="G307" t="n">
        <v>120</v>
      </c>
      <c r="H307" s="5" t="n"/>
    </row>
    <row r="308">
      <c r="A308" t="inlineStr">
        <is>
          <t>IA-00307</t>
        </is>
      </c>
      <c r="B308" t="inlineStr">
        <is>
          <t>Brand licence (2021)</t>
        </is>
      </c>
      <c r="C308" t="inlineStr">
        <is>
          <t>Trademarks and other rights</t>
        </is>
      </c>
      <c r="D308" t="inlineStr">
        <is>
          <t>CC-300</t>
        </is>
      </c>
      <c r="E308" s="5" t="n">
        <v>44223</v>
      </c>
      <c r="F308" t="n">
        <v>48677.2</v>
      </c>
      <c r="G308" t="n">
        <v>60</v>
      </c>
      <c r="H308" s="5" t="n"/>
    </row>
    <row r="309">
      <c r="A309" t="inlineStr">
        <is>
          <t>IA-00308</t>
        </is>
      </c>
      <c r="B309" t="inlineStr">
        <is>
          <t>Billing engine module (2023)</t>
        </is>
      </c>
      <c r="C309" t="inlineStr">
        <is>
          <t>Capitalised development</t>
        </is>
      </c>
      <c r="D309" t="inlineStr">
        <is>
          <t>CC-400</t>
        </is>
      </c>
      <c r="E309" s="5" t="n">
        <v>45273</v>
      </c>
      <c r="F309" t="n">
        <v>769090.2</v>
      </c>
      <c r="G309" t="n">
        <v>36</v>
      </c>
      <c r="H309" s="5" t="n"/>
    </row>
    <row r="310">
      <c r="A310" t="inlineStr">
        <is>
          <t>IA-00309</t>
        </is>
      </c>
      <c r="B310" t="inlineStr">
        <is>
          <t>Data warehouse build (2018)</t>
        </is>
      </c>
      <c r="C310" t="inlineStr">
        <is>
          <t>Capitalised development</t>
        </is>
      </c>
      <c r="D310" t="inlineStr">
        <is>
          <t>CC-100</t>
        </is>
      </c>
      <c r="E310" s="5" t="n">
        <v>43251</v>
      </c>
      <c r="F310" t="n">
        <v>622103.96</v>
      </c>
      <c r="G310" t="n">
        <v>36</v>
      </c>
      <c r="H310" s="5" t="n"/>
    </row>
    <row r="311">
      <c r="A311" t="inlineStr">
        <is>
          <t>IA-00310</t>
        </is>
      </c>
      <c r="B311" t="inlineStr">
        <is>
          <t>Content distribution right (2016)</t>
        </is>
      </c>
      <c r="C311" t="inlineStr">
        <is>
          <t>Usage rights</t>
        </is>
      </c>
      <c r="D311" t="inlineStr">
        <is>
          <t>CC-100</t>
        </is>
      </c>
      <c r="E311" s="5" t="n">
        <v>42713</v>
      </c>
      <c r="F311" t="n">
        <v>63184.38</v>
      </c>
      <c r="G311" t="n">
        <v>180</v>
      </c>
      <c r="H311" s="5" t="n"/>
    </row>
    <row r="312">
      <c r="A312" t="inlineStr">
        <is>
          <t>IA-00311</t>
        </is>
      </c>
      <c r="B312" t="inlineStr">
        <is>
          <t>Collaboration suite licence (2020)</t>
        </is>
      </c>
      <c r="C312" t="inlineStr">
        <is>
          <t>Software licences</t>
        </is>
      </c>
      <c r="D312" t="inlineStr">
        <is>
          <t>CC-400</t>
        </is>
      </c>
      <c r="E312" s="5" t="n">
        <v>43932</v>
      </c>
      <c r="F312" t="n">
        <v>240128.6</v>
      </c>
      <c r="G312" t="n">
        <v>60</v>
      </c>
      <c r="H312" s="5" t="n"/>
    </row>
    <row r="313">
      <c r="A313" t="inlineStr">
        <is>
          <t>IA-00312</t>
        </is>
      </c>
      <c r="B313" t="inlineStr">
        <is>
          <t>Database licence (2016)</t>
        </is>
      </c>
      <c r="C313" t="inlineStr">
        <is>
          <t>Software licences</t>
        </is>
      </c>
      <c r="D313" t="inlineStr">
        <is>
          <t>CC-200</t>
        </is>
      </c>
      <c r="E313" s="5" t="n">
        <v>42554</v>
      </c>
      <c r="F313" t="n">
        <v>304358.06</v>
      </c>
      <c r="G313" t="n">
        <v>36</v>
      </c>
      <c r="H313" s="5" t="n"/>
    </row>
    <row r="314">
      <c r="A314" t="inlineStr">
        <is>
          <t>IA-00313</t>
        </is>
      </c>
      <c r="B314" t="inlineStr">
        <is>
          <t>CRM licence (2018)</t>
        </is>
      </c>
      <c r="C314" t="inlineStr">
        <is>
          <t>Software licences</t>
        </is>
      </c>
      <c r="D314" t="inlineStr">
        <is>
          <t>CC-100</t>
        </is>
      </c>
      <c r="E314" s="5" t="n">
        <v>43205</v>
      </c>
      <c r="F314" t="n">
        <v>298456.13</v>
      </c>
      <c r="G314" t="n">
        <v>60</v>
      </c>
      <c r="H314" s="5" t="n"/>
    </row>
    <row r="315">
      <c r="A315" t="inlineStr">
        <is>
          <t>IA-00314</t>
        </is>
      </c>
      <c r="B315" t="inlineStr">
        <is>
          <t>Reporting platform (2022)</t>
        </is>
      </c>
      <c r="C315" t="inlineStr">
        <is>
          <t>Capitalised development</t>
        </is>
      </c>
      <c r="D315" t="inlineStr">
        <is>
          <t>CC-400</t>
        </is>
      </c>
      <c r="E315" s="5" t="n">
        <v>44795</v>
      </c>
      <c r="F315" t="n">
        <v>821099.9399999999</v>
      </c>
      <c r="G315" t="n">
        <v>60</v>
      </c>
      <c r="H315" s="5" t="n"/>
    </row>
    <row r="316">
      <c r="A316" t="inlineStr">
        <is>
          <t>IA-00315</t>
        </is>
      </c>
      <c r="B316" t="inlineStr">
        <is>
          <t>Domain portfolio (2017)</t>
        </is>
      </c>
      <c r="C316" t="inlineStr">
        <is>
          <t>Trademarks and other rights</t>
        </is>
      </c>
      <c r="D316" t="inlineStr">
        <is>
          <t>CC-400</t>
        </is>
      </c>
      <c r="E316" s="5" t="n">
        <v>42740</v>
      </c>
      <c r="F316" t="n">
        <v>188321.98</v>
      </c>
      <c r="G316" t="n">
        <v>60</v>
      </c>
      <c r="H316" s="5" t="n"/>
    </row>
    <row r="317">
      <c r="A317" t="inlineStr">
        <is>
          <t>IA-00316</t>
        </is>
      </c>
      <c r="B317" t="inlineStr">
        <is>
          <t>Patent licence (2023)</t>
        </is>
      </c>
      <c r="C317" t="inlineStr">
        <is>
          <t>Trademarks and other rights</t>
        </is>
      </c>
      <c r="D317" t="inlineStr">
        <is>
          <t>CC-500</t>
        </is>
      </c>
      <c r="E317" s="5" t="n">
        <v>45209</v>
      </c>
      <c r="F317" t="n">
        <v>134645.94</v>
      </c>
      <c r="G317" t="n">
        <v>60</v>
      </c>
      <c r="H317" s="5" t="n"/>
    </row>
    <row r="318">
      <c r="A318" t="inlineStr">
        <is>
          <t>IA-00317</t>
        </is>
      </c>
      <c r="B318" t="inlineStr">
        <is>
          <t>Self-care portal release (2019)</t>
        </is>
      </c>
      <c r="C318" t="inlineStr">
        <is>
          <t>Capitalised development</t>
        </is>
      </c>
      <c r="D318" t="inlineStr">
        <is>
          <t>CC-300</t>
        </is>
      </c>
      <c r="E318" s="5" t="n">
        <v>43498</v>
      </c>
      <c r="F318" t="n">
        <v>79219.12</v>
      </c>
      <c r="G318" t="n">
        <v>36</v>
      </c>
      <c r="H318" s="5" t="n"/>
    </row>
    <row r="319">
      <c r="A319" t="inlineStr">
        <is>
          <t>IA-00318</t>
        </is>
      </c>
      <c r="B319" t="inlineStr">
        <is>
          <t>ERP licence (2022)</t>
        </is>
      </c>
      <c r="C319" t="inlineStr">
        <is>
          <t>Software licences</t>
        </is>
      </c>
      <c r="D319" t="inlineStr">
        <is>
          <t>CC-200</t>
        </is>
      </c>
      <c r="E319" s="5" t="n">
        <v>44648</v>
      </c>
      <c r="F319" t="n">
        <v>29399.31</v>
      </c>
      <c r="G319" t="n">
        <v>60</v>
      </c>
      <c r="H319" s="5" t="n"/>
    </row>
    <row r="320">
      <c r="A320" t="inlineStr">
        <is>
          <t>IA-00319</t>
        </is>
      </c>
      <c r="B320" t="inlineStr">
        <is>
          <t>Reporting platform (2016)</t>
        </is>
      </c>
      <c r="C320" t="inlineStr">
        <is>
          <t>Capitalised development</t>
        </is>
      </c>
      <c r="D320" t="inlineStr">
        <is>
          <t>CC-200</t>
        </is>
      </c>
      <c r="E320" s="5" t="n">
        <v>42472</v>
      </c>
      <c r="F320" t="n">
        <v>36429.19</v>
      </c>
      <c r="G320" t="n">
        <v>36</v>
      </c>
      <c r="H320" s="5" t="n"/>
    </row>
    <row r="321">
      <c r="A321" t="inlineStr">
        <is>
          <t>IA-00320</t>
        </is>
      </c>
      <c r="B321" t="inlineStr">
        <is>
          <t>Collaboration suite licence (2020)</t>
        </is>
      </c>
      <c r="C321" t="inlineStr">
        <is>
          <t>Software licences</t>
        </is>
      </c>
      <c r="D321" t="inlineStr">
        <is>
          <t>CC-600</t>
        </is>
      </c>
      <c r="E321" s="5" t="n">
        <v>43877</v>
      </c>
      <c r="F321" t="n">
        <v>263101.38</v>
      </c>
      <c r="G321" t="n">
        <v>60</v>
      </c>
      <c r="H321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</cols>
  <sheetData>
    <row r="1">
      <c r="A1" t="inlineStr">
        <is>
          <t>asset_id</t>
        </is>
      </c>
      <c r="B1" t="inlineStr">
        <is>
          <t>movement_type</t>
        </is>
      </c>
      <c r="C1" t="inlineStr">
        <is>
          <t>movement_date</t>
        </is>
      </c>
      <c r="D1" t="inlineStr">
        <is>
          <t>amount</t>
        </is>
      </c>
      <c r="E1" t="inlineStr">
        <is>
          <t>asset_name</t>
        </is>
      </c>
      <c r="F1" t="inlineStr">
        <is>
          <t>category</t>
        </is>
      </c>
      <c r="G1" t="inlineStr">
        <is>
          <t>useful_life_months</t>
        </is>
      </c>
      <c r="H1" t="inlineStr">
        <is>
          <t>cost_centre</t>
        </is>
      </c>
      <c r="I1" t="inlineStr">
        <is>
          <t>source_file</t>
        </is>
      </c>
    </row>
    <row r="2">
      <c r="A2" t="inlineStr">
        <is>
          <t>IA-00335</t>
        </is>
      </c>
      <c r="B2" t="inlineStr">
        <is>
          <t>ADDITION</t>
        </is>
      </c>
      <c r="C2" s="5" t="n">
        <v>45292</v>
      </c>
      <c r="D2" t="n">
        <v>27599.55</v>
      </c>
      <c r="E2" t="inlineStr">
        <is>
          <t>Database licence (2024)</t>
        </is>
      </c>
      <c r="F2" t="inlineStr">
        <is>
          <t>Software licences</t>
        </is>
      </c>
      <c r="G2" t="n">
        <v>48</v>
      </c>
      <c r="H2" t="inlineStr">
        <is>
          <t>CC-500</t>
        </is>
      </c>
      <c r="I2" t="inlineStr">
        <is>
          <t>movements_2024_01.csv</t>
        </is>
      </c>
    </row>
    <row r="3">
      <c r="A3" t="inlineStr">
        <is>
          <t>IA-00378</t>
        </is>
      </c>
      <c r="B3" t="inlineStr">
        <is>
          <t>ADDITION</t>
        </is>
      </c>
      <c r="C3" s="5" t="n">
        <v>45307</v>
      </c>
      <c r="D3" t="n">
        <v>142119.92</v>
      </c>
      <c r="E3" t="inlineStr">
        <is>
          <t>Order management feature (2024)</t>
        </is>
      </c>
      <c r="F3" t="inlineStr">
        <is>
          <t>Capitalised development</t>
        </is>
      </c>
      <c r="G3" t="n">
        <v>48</v>
      </c>
      <c r="H3" t="inlineStr">
        <is>
          <t>CC-500</t>
        </is>
      </c>
      <c r="I3" t="inlineStr">
        <is>
          <t>movements_2024_01.csv</t>
        </is>
      </c>
    </row>
    <row r="4">
      <c r="A4" t="inlineStr">
        <is>
          <t>IA-00400</t>
        </is>
      </c>
      <c r="B4" t="inlineStr">
        <is>
          <t>ADDITION</t>
        </is>
      </c>
      <c r="C4" s="5" t="n">
        <v>45310</v>
      </c>
      <c r="D4" t="n">
        <v>9875.690000000001</v>
      </c>
      <c r="E4" t="inlineStr">
        <is>
          <t>Database licence (2024)</t>
        </is>
      </c>
      <c r="F4" t="inlineStr">
        <is>
          <t>Software licences</t>
        </is>
      </c>
      <c r="G4" t="n">
        <v>60</v>
      </c>
      <c r="H4" t="inlineStr">
        <is>
          <t>CC-200</t>
        </is>
      </c>
      <c r="I4" t="inlineStr">
        <is>
          <t>movements_2024_01.csv</t>
        </is>
      </c>
    </row>
    <row r="5">
      <c r="A5" t="inlineStr">
        <is>
          <t>IA-00389</t>
        </is>
      </c>
      <c r="B5" t="inlineStr">
        <is>
          <t>ADDITION</t>
        </is>
      </c>
      <c r="C5" s="5" t="n">
        <v>45314</v>
      </c>
      <c r="D5" t="n">
        <v>23068.11</v>
      </c>
      <c r="E5" t="inlineStr">
        <is>
          <t>Analytics suite licence (2024)</t>
        </is>
      </c>
      <c r="F5" t="inlineStr">
        <is>
          <t>Software licences</t>
        </is>
      </c>
      <c r="G5" t="n">
        <v>60</v>
      </c>
      <c r="H5" t="inlineStr">
        <is>
          <t>CC-200</t>
        </is>
      </c>
      <c r="I5" t="inlineStr">
        <is>
          <t>movements_2024_01.csv</t>
        </is>
      </c>
    </row>
    <row r="6">
      <c r="A6" t="inlineStr">
        <is>
          <t>IA-00285</t>
        </is>
      </c>
      <c r="B6" t="inlineStr">
        <is>
          <t>TRANSFER</t>
        </is>
      </c>
      <c r="C6" s="5" t="n">
        <v>45320</v>
      </c>
      <c r="H6" t="inlineStr">
        <is>
          <t>CC-100</t>
        </is>
      </c>
      <c r="I6" t="inlineStr">
        <is>
          <t>movements_2024_01.csv</t>
        </is>
      </c>
    </row>
    <row r="7">
      <c r="A7" t="inlineStr">
        <is>
          <t>IA-00349</t>
        </is>
      </c>
      <c r="B7" t="inlineStr">
        <is>
          <t>ADDITION</t>
        </is>
      </c>
      <c r="C7" s="5" t="n">
        <v>45332</v>
      </c>
      <c r="D7" t="n">
        <v>53923.63</v>
      </c>
      <c r="E7" t="inlineStr">
        <is>
          <t>Monitoring tool licence (2024)</t>
        </is>
      </c>
      <c r="F7" t="inlineStr">
        <is>
          <t>Software licences</t>
        </is>
      </c>
      <c r="G7" t="n">
        <v>36</v>
      </c>
      <c r="H7" t="inlineStr">
        <is>
          <t>CC-100</t>
        </is>
      </c>
      <c r="I7" t="inlineStr">
        <is>
          <t>movements_2024_02.csv</t>
        </is>
      </c>
    </row>
    <row r="8">
      <c r="A8" t="inlineStr">
        <is>
          <t>IA-00191</t>
        </is>
      </c>
      <c r="B8" t="inlineStr">
        <is>
          <t>TRANSFER</t>
        </is>
      </c>
      <c r="C8" s="5" t="n">
        <v>45341</v>
      </c>
      <c r="H8" t="inlineStr">
        <is>
          <t>CC-600</t>
        </is>
      </c>
      <c r="I8" t="inlineStr">
        <is>
          <t>movements_2024_02.csv</t>
        </is>
      </c>
    </row>
    <row r="9">
      <c r="A9" t="inlineStr">
        <is>
          <t>IA-00329</t>
        </is>
      </c>
      <c r="B9" t="inlineStr">
        <is>
          <t>ADDITION</t>
        </is>
      </c>
      <c r="C9" s="5" t="n">
        <v>45355</v>
      </c>
      <c r="D9" t="n">
        <v>10811.86</v>
      </c>
      <c r="E9" t="inlineStr">
        <is>
          <t>Database licence (2024)</t>
        </is>
      </c>
      <c r="F9" t="inlineStr">
        <is>
          <t>Software licences</t>
        </is>
      </c>
      <c r="G9" t="n">
        <v>60</v>
      </c>
      <c r="H9" t="inlineStr">
        <is>
          <t>CC-300</t>
        </is>
      </c>
      <c r="I9" t="inlineStr">
        <is>
          <t>movements_2024_03.csv</t>
        </is>
      </c>
    </row>
    <row r="10">
      <c r="A10" t="inlineStr">
        <is>
          <t>IA-00312</t>
        </is>
      </c>
      <c r="B10" t="inlineStr">
        <is>
          <t>TRANSFER</t>
        </is>
      </c>
      <c r="C10" s="5" t="n">
        <v>45356</v>
      </c>
      <c r="H10" t="inlineStr">
        <is>
          <t>CC-500</t>
        </is>
      </c>
      <c r="I10" t="inlineStr">
        <is>
          <t>movements_2024_03.csv</t>
        </is>
      </c>
    </row>
    <row r="11">
      <c r="A11" t="inlineStr">
        <is>
          <t>IA-00379</t>
        </is>
      </c>
      <c r="B11" t="inlineStr">
        <is>
          <t>ADDITION</t>
        </is>
      </c>
      <c r="C11" s="5" t="n">
        <v>45365</v>
      </c>
      <c r="D11" t="n">
        <v>132526.84</v>
      </c>
      <c r="E11" t="inlineStr">
        <is>
          <t>Monitoring tool licence (2024)</t>
        </is>
      </c>
      <c r="F11" t="inlineStr">
        <is>
          <t>Software licences</t>
        </is>
      </c>
      <c r="G11" t="n">
        <v>36</v>
      </c>
      <c r="H11" t="inlineStr">
        <is>
          <t>CC-600</t>
        </is>
      </c>
      <c r="I11" t="inlineStr">
        <is>
          <t>movements_2024_03.csv</t>
        </is>
      </c>
    </row>
    <row r="12">
      <c r="A12" t="inlineStr">
        <is>
          <t>IA-00357</t>
        </is>
      </c>
      <c r="B12" t="inlineStr">
        <is>
          <t>ADDITION</t>
        </is>
      </c>
      <c r="C12" s="5" t="n">
        <v>45367</v>
      </c>
      <c r="D12" t="n">
        <v>121995.28</v>
      </c>
      <c r="E12" t="inlineStr">
        <is>
          <t>Mobile app release (2024)</t>
        </is>
      </c>
      <c r="F12" t="inlineStr">
        <is>
          <t>Capitalised development</t>
        </is>
      </c>
      <c r="G12" t="n">
        <v>60</v>
      </c>
      <c r="H12" t="inlineStr">
        <is>
          <t>CC-400</t>
        </is>
      </c>
      <c r="I12" t="inlineStr">
        <is>
          <t>movements_2024_03.csv</t>
        </is>
      </c>
    </row>
    <row r="13">
      <c r="A13" t="inlineStr">
        <is>
          <t>IA-00188</t>
        </is>
      </c>
      <c r="B13" t="inlineStr">
        <is>
          <t>TRANSFER</t>
        </is>
      </c>
      <c r="C13" s="5" t="n">
        <v>45368</v>
      </c>
      <c r="H13" t="inlineStr">
        <is>
          <t>CC-300</t>
        </is>
      </c>
      <c r="I13" t="inlineStr">
        <is>
          <t>movements_2024_03.csv</t>
        </is>
      </c>
    </row>
    <row r="14">
      <c r="A14" t="inlineStr">
        <is>
          <t>IA-00376</t>
        </is>
      </c>
      <c r="B14" t="inlineStr">
        <is>
          <t>ADDITION</t>
        </is>
      </c>
      <c r="C14" s="5" t="n">
        <v>45371</v>
      </c>
      <c r="D14" t="n">
        <v>21076.91</v>
      </c>
      <c r="E14" t="inlineStr">
        <is>
          <t>Data warehouse build (2024)</t>
        </is>
      </c>
      <c r="F14" t="inlineStr">
        <is>
          <t>Capitalised development</t>
        </is>
      </c>
      <c r="G14" t="n">
        <v>36</v>
      </c>
      <c r="H14" t="inlineStr">
        <is>
          <t>CC-300</t>
        </is>
      </c>
      <c r="I14" t="inlineStr">
        <is>
          <t>movements_2024_03.csv</t>
        </is>
      </c>
    </row>
    <row r="15">
      <c r="A15" t="inlineStr">
        <is>
          <t>IA-00029</t>
        </is>
      </c>
      <c r="B15" t="inlineStr">
        <is>
          <t>TRANSFER</t>
        </is>
      </c>
      <c r="C15" s="5" t="n">
        <v>45378</v>
      </c>
      <c r="H15" t="inlineStr">
        <is>
          <t>CC-600</t>
        </is>
      </c>
      <c r="I15" t="inlineStr">
        <is>
          <t>movements_2024_03.csv</t>
        </is>
      </c>
    </row>
    <row r="16">
      <c r="A16" t="inlineStr">
        <is>
          <t>IA-00346</t>
        </is>
      </c>
      <c r="B16" t="inlineStr">
        <is>
          <t>ADDITION</t>
        </is>
      </c>
      <c r="C16" s="5" t="n">
        <v>45385</v>
      </c>
      <c r="D16" t="n">
        <v>9301.24</v>
      </c>
      <c r="E16" t="inlineStr">
        <is>
          <t>Database licence (2024)</t>
        </is>
      </c>
      <c r="F16" t="inlineStr">
        <is>
          <t>Software licences</t>
        </is>
      </c>
      <c r="G16" t="n">
        <v>60</v>
      </c>
      <c r="H16" t="inlineStr">
        <is>
          <t>CC-400</t>
        </is>
      </c>
      <c r="I16" t="inlineStr">
        <is>
          <t>movements_2024_04.csv</t>
        </is>
      </c>
    </row>
    <row r="17">
      <c r="A17" t="inlineStr">
        <is>
          <t>IA-00374</t>
        </is>
      </c>
      <c r="B17" t="inlineStr">
        <is>
          <t>ADDITION</t>
        </is>
      </c>
      <c r="C17" s="5" t="n">
        <v>45394</v>
      </c>
      <c r="D17" t="n">
        <v>28749.87</v>
      </c>
      <c r="E17" t="inlineStr">
        <is>
          <t>ERP licence (2024)</t>
        </is>
      </c>
      <c r="F17" t="inlineStr">
        <is>
          <t>Software licences</t>
        </is>
      </c>
      <c r="G17" t="n">
        <v>48</v>
      </c>
      <c r="H17" t="inlineStr">
        <is>
          <t>CC-500</t>
        </is>
      </c>
      <c r="I17" t="inlineStr">
        <is>
          <t>movements_2024_04.csv</t>
        </is>
      </c>
    </row>
    <row r="18">
      <c r="A18" t="inlineStr">
        <is>
          <t>IA-00303</t>
        </is>
      </c>
      <c r="B18" t="inlineStr">
        <is>
          <t>DISPOSAL</t>
        </is>
      </c>
      <c r="C18" s="5" t="n">
        <v>45395</v>
      </c>
      <c r="E18" t="inlineStr">
        <is>
          <t>Monitoring tool licence (2021)</t>
        </is>
      </c>
      <c r="I18" t="inlineStr">
        <is>
          <t>movements_2024_04.csv</t>
        </is>
      </c>
    </row>
    <row r="19">
      <c r="A19" t="inlineStr">
        <is>
          <t>IA-00373</t>
        </is>
      </c>
      <c r="B19" t="inlineStr">
        <is>
          <t>ADDITION</t>
        </is>
      </c>
      <c r="C19" s="5" t="n">
        <v>45395</v>
      </c>
      <c r="D19" t="n">
        <v>35765.08</v>
      </c>
      <c r="E19" t="inlineStr">
        <is>
          <t>Self-care portal release (2024)</t>
        </is>
      </c>
      <c r="F19" t="inlineStr">
        <is>
          <t>Capitalised development</t>
        </is>
      </c>
      <c r="G19" t="n">
        <v>36</v>
      </c>
      <c r="H19" t="inlineStr">
        <is>
          <t>CC-500</t>
        </is>
      </c>
      <c r="I19" t="inlineStr">
        <is>
          <t>movements_2024_04.csv</t>
        </is>
      </c>
    </row>
    <row r="20">
      <c r="A20" t="inlineStr">
        <is>
          <t>IA-00382</t>
        </is>
      </c>
      <c r="B20" t="inlineStr">
        <is>
          <t>ADDITION</t>
        </is>
      </c>
      <c r="C20" s="5" t="n">
        <v>45399</v>
      </c>
      <c r="D20" t="n">
        <v>71941.91</v>
      </c>
      <c r="E20" t="inlineStr">
        <is>
          <t>Order management feature (2024)</t>
        </is>
      </c>
      <c r="F20" t="inlineStr">
        <is>
          <t>Capitalised development</t>
        </is>
      </c>
      <c r="G20" t="n">
        <v>60</v>
      </c>
      <c r="H20" t="inlineStr">
        <is>
          <t>CC-100</t>
        </is>
      </c>
      <c r="I20" t="inlineStr">
        <is>
          <t>movements_2024_04.csv</t>
        </is>
      </c>
    </row>
    <row r="21">
      <c r="A21" t="inlineStr">
        <is>
          <t>IA-00184</t>
        </is>
      </c>
      <c r="B21" t="inlineStr">
        <is>
          <t>DISPOSAL</t>
        </is>
      </c>
      <c r="C21" s="5" t="n">
        <v>45402</v>
      </c>
      <c r="E21" t="inlineStr">
        <is>
          <t>Site access right (2016)</t>
        </is>
      </c>
      <c r="I21" t="inlineStr">
        <is>
          <t>movements_2024_04.csv</t>
        </is>
      </c>
    </row>
    <row r="22">
      <c r="A22" t="inlineStr">
        <is>
          <t>IA-00369</t>
        </is>
      </c>
      <c r="B22" t="inlineStr">
        <is>
          <t>ADDITION</t>
        </is>
      </c>
      <c r="C22" s="5" t="n">
        <v>45402</v>
      </c>
      <c r="D22" t="n">
        <v>13855.61</v>
      </c>
      <c r="E22" t="inlineStr">
        <is>
          <t>Patent licence (2024)</t>
        </is>
      </c>
      <c r="F22" t="inlineStr">
        <is>
          <t>Trademarks and other rights</t>
        </is>
      </c>
      <c r="G22" t="n">
        <v>120</v>
      </c>
      <c r="H22" t="inlineStr">
        <is>
          <t>CC-500</t>
        </is>
      </c>
      <c r="I22" t="inlineStr">
        <is>
          <t>movements_2024_04.csv</t>
        </is>
      </c>
    </row>
    <row r="23">
      <c r="A23" t="inlineStr">
        <is>
          <t>IA-00348</t>
        </is>
      </c>
      <c r="B23" t="inlineStr">
        <is>
          <t>ADDITION</t>
        </is>
      </c>
      <c r="C23" s="5" t="n">
        <v>45421</v>
      </c>
      <c r="D23" t="n">
        <v>75122.56</v>
      </c>
      <c r="E23" t="inlineStr">
        <is>
          <t>ERP licence (2024)</t>
        </is>
      </c>
      <c r="F23" t="inlineStr">
        <is>
          <t>Software licences</t>
        </is>
      </c>
      <c r="G23" t="n">
        <v>36</v>
      </c>
      <c r="H23" t="inlineStr">
        <is>
          <t>CC-600</t>
        </is>
      </c>
      <c r="I23" t="inlineStr">
        <is>
          <t>movements_2024_05.csv</t>
        </is>
      </c>
    </row>
    <row r="24">
      <c r="A24" t="inlineStr">
        <is>
          <t>IA-00104</t>
        </is>
      </c>
      <c r="B24" t="inlineStr">
        <is>
          <t>TRANSFER</t>
        </is>
      </c>
      <c r="C24" s="5" t="n">
        <v>45427</v>
      </c>
      <c r="H24" t="inlineStr">
        <is>
          <t>CC-400</t>
        </is>
      </c>
      <c r="I24" t="inlineStr">
        <is>
          <t>movements_2024_05.csv</t>
        </is>
      </c>
    </row>
    <row r="25">
      <c r="A25" t="inlineStr">
        <is>
          <t>IA-00392</t>
        </is>
      </c>
      <c r="B25" t="inlineStr">
        <is>
          <t>ADDITION</t>
        </is>
      </c>
      <c r="C25" s="5" t="n">
        <v>45448</v>
      </c>
      <c r="D25" t="n">
        <v>615279.1</v>
      </c>
      <c r="E25" t="inlineStr">
        <is>
          <t>Integration layer (2024)</t>
        </is>
      </c>
      <c r="F25" t="inlineStr">
        <is>
          <t>Capitalised development</t>
        </is>
      </c>
      <c r="G25" t="n">
        <v>48</v>
      </c>
      <c r="H25" t="inlineStr">
        <is>
          <t>CC-300</t>
        </is>
      </c>
      <c r="I25" t="inlineStr">
        <is>
          <t>movements_2024_06.csv</t>
        </is>
      </c>
    </row>
    <row r="26">
      <c r="A26" t="inlineStr">
        <is>
          <t>IA-00358</t>
        </is>
      </c>
      <c r="B26" t="inlineStr">
        <is>
          <t>ADDITION</t>
        </is>
      </c>
      <c r="C26" s="5" t="n">
        <v>45455</v>
      </c>
      <c r="D26" t="n">
        <v>30582.19</v>
      </c>
      <c r="E26" t="inlineStr">
        <is>
          <t>CRM licence (2024)</t>
        </is>
      </c>
      <c r="F26" t="inlineStr">
        <is>
          <t>Software licences</t>
        </is>
      </c>
      <c r="G26" t="n">
        <v>48</v>
      </c>
      <c r="H26" t="inlineStr">
        <is>
          <t>CC-100</t>
        </is>
      </c>
      <c r="I26" t="inlineStr">
        <is>
          <t>movements_2024_06.csv</t>
        </is>
      </c>
    </row>
    <row r="27">
      <c r="A27" t="inlineStr">
        <is>
          <t>IA-00347</t>
        </is>
      </c>
      <c r="B27" t="inlineStr">
        <is>
          <t>ADDITION</t>
        </is>
      </c>
      <c r="C27" s="5" t="n">
        <v>45458</v>
      </c>
      <c r="D27" t="n">
        <v>119318.15</v>
      </c>
      <c r="E27" t="inlineStr">
        <is>
          <t>Collaboration suite licence (2024)</t>
        </is>
      </c>
      <c r="F27" t="inlineStr">
        <is>
          <t>Software licences</t>
        </is>
      </c>
      <c r="G27" t="n">
        <v>36</v>
      </c>
      <c r="H27" t="inlineStr">
        <is>
          <t>CC-400</t>
        </is>
      </c>
      <c r="I27" t="inlineStr">
        <is>
          <t>movements_2024_06.csv</t>
        </is>
      </c>
    </row>
    <row r="28">
      <c r="A28" t="inlineStr">
        <is>
          <t>IA-00338</t>
        </is>
      </c>
      <c r="B28" t="inlineStr">
        <is>
          <t>ADDITION</t>
        </is>
      </c>
      <c r="C28" s="5" t="n">
        <v>45460</v>
      </c>
      <c r="D28" t="n">
        <v>1729351.17</v>
      </c>
      <c r="E28" t="inlineStr">
        <is>
          <t>Duct usage right (2024)</t>
        </is>
      </c>
      <c r="F28" t="inlineStr">
        <is>
          <t>Usage rights</t>
        </is>
      </c>
      <c r="G28" t="n">
        <v>120</v>
      </c>
      <c r="H28" t="inlineStr">
        <is>
          <t>CC-600</t>
        </is>
      </c>
      <c r="I28" t="inlineStr">
        <is>
          <t>movements_2024_06.csv</t>
        </is>
      </c>
    </row>
    <row r="29">
      <c r="A29" t="inlineStr">
        <is>
          <t>IA-00076</t>
        </is>
      </c>
      <c r="B29" t="inlineStr">
        <is>
          <t>TRANSFER</t>
        </is>
      </c>
      <c r="C29" s="5" t="n">
        <v>45477</v>
      </c>
      <c r="H29" t="inlineStr">
        <is>
          <t>CC-100</t>
        </is>
      </c>
      <c r="I29" t="inlineStr">
        <is>
          <t>movements_2024_07.csv</t>
        </is>
      </c>
    </row>
    <row r="30">
      <c r="A30" t="inlineStr">
        <is>
          <t>IA-00279</t>
        </is>
      </c>
      <c r="B30" t="inlineStr">
        <is>
          <t>DISPOSAL</t>
        </is>
      </c>
      <c r="C30" s="5" t="n">
        <v>45479</v>
      </c>
      <c r="E30" t="inlineStr">
        <is>
          <t>Database licence (2016)</t>
        </is>
      </c>
      <c r="I30" t="inlineStr">
        <is>
          <t>movements_2024_07.csv</t>
        </is>
      </c>
    </row>
    <row r="31">
      <c r="A31" t="inlineStr">
        <is>
          <t>IA-00129</t>
        </is>
      </c>
      <c r="B31" t="inlineStr">
        <is>
          <t>DISPOSAL</t>
        </is>
      </c>
      <c r="C31" s="5" t="n">
        <v>45480</v>
      </c>
      <c r="E31" t="inlineStr">
        <is>
          <t>Domain portfolio (2020)</t>
        </is>
      </c>
      <c r="I31" t="inlineStr">
        <is>
          <t>movements_2024_07.csv</t>
        </is>
      </c>
    </row>
    <row r="32">
      <c r="A32" t="inlineStr">
        <is>
          <t>IA-00323</t>
        </is>
      </c>
      <c r="B32" t="inlineStr">
        <is>
          <t>ADDITION</t>
        </is>
      </c>
      <c r="C32" s="5" t="n">
        <v>45482</v>
      </c>
      <c r="D32" t="n">
        <v>91162.35000000001</v>
      </c>
      <c r="E32" t="inlineStr">
        <is>
          <t>Content distribution right (2024)</t>
        </is>
      </c>
      <c r="F32" t="inlineStr">
        <is>
          <t>Usage rights</t>
        </is>
      </c>
      <c r="G32" t="n">
        <v>180</v>
      </c>
      <c r="H32" t="inlineStr">
        <is>
          <t>CC-200</t>
        </is>
      </c>
      <c r="I32" t="inlineStr">
        <is>
          <t>movements_2024_07.csv</t>
        </is>
      </c>
    </row>
    <row r="33">
      <c r="A33" t="inlineStr">
        <is>
          <t>IA-00340</t>
        </is>
      </c>
      <c r="B33" t="inlineStr">
        <is>
          <t>ADDITION</t>
        </is>
      </c>
      <c r="C33" s="5" t="n">
        <v>45484</v>
      </c>
      <c r="D33" t="n">
        <v>54096.9</v>
      </c>
      <c r="E33" t="inlineStr">
        <is>
          <t>Database licence (2024)</t>
        </is>
      </c>
      <c r="F33" t="inlineStr">
        <is>
          <t>Software licences</t>
        </is>
      </c>
      <c r="G33" t="n">
        <v>60</v>
      </c>
      <c r="H33" t="inlineStr">
        <is>
          <t>CC-500</t>
        </is>
      </c>
      <c r="I33" t="inlineStr">
        <is>
          <t>movements_2024_07.csv</t>
        </is>
      </c>
    </row>
    <row r="34">
      <c r="A34" t="inlineStr">
        <is>
          <t>IA-00385</t>
        </is>
      </c>
      <c r="B34" t="inlineStr">
        <is>
          <t>ADDITION</t>
        </is>
      </c>
      <c r="C34" s="5" t="n">
        <v>45486</v>
      </c>
      <c r="D34" t="n">
        <v>64200.83</v>
      </c>
      <c r="E34" t="inlineStr">
        <is>
          <t>Brand licence (2024)</t>
        </is>
      </c>
      <c r="F34" t="inlineStr">
        <is>
          <t>Trademarks and other rights</t>
        </is>
      </c>
      <c r="G34" t="n">
        <v>120</v>
      </c>
      <c r="H34" t="inlineStr">
        <is>
          <t>CC-100</t>
        </is>
      </c>
      <c r="I34" t="inlineStr">
        <is>
          <t>movements_2024_07.csv</t>
        </is>
      </c>
    </row>
    <row r="35">
      <c r="A35" t="inlineStr">
        <is>
          <t>IA-00028</t>
        </is>
      </c>
      <c r="B35" t="inlineStr">
        <is>
          <t>DISPOSAL</t>
        </is>
      </c>
      <c r="C35" s="5" t="n">
        <v>45489</v>
      </c>
      <c r="E35" t="inlineStr">
        <is>
          <t>Security software licence (2019)</t>
        </is>
      </c>
      <c r="I35" t="inlineStr">
        <is>
          <t>movements_2024_07.csv</t>
        </is>
      </c>
    </row>
    <row r="36">
      <c r="A36" t="inlineStr">
        <is>
          <t>IA-00398</t>
        </is>
      </c>
      <c r="B36" t="inlineStr">
        <is>
          <t>ADDITION</t>
        </is>
      </c>
      <c r="C36" s="5" t="n">
        <v>45492</v>
      </c>
      <c r="D36" t="n">
        <v>4632.09</v>
      </c>
      <c r="E36" t="inlineStr">
        <is>
          <t>ERP licence (2024)</t>
        </is>
      </c>
      <c r="F36" t="inlineStr">
        <is>
          <t>Software licences</t>
        </is>
      </c>
      <c r="G36" t="n">
        <v>36</v>
      </c>
      <c r="H36" t="inlineStr">
        <is>
          <t>CC-300</t>
        </is>
      </c>
      <c r="I36" t="inlineStr">
        <is>
          <t>movements_2024_07.csv</t>
        </is>
      </c>
    </row>
    <row r="37">
      <c r="A37" t="inlineStr">
        <is>
          <t>IA-00375</t>
        </is>
      </c>
      <c r="B37" t="inlineStr">
        <is>
          <t>ADDITION</t>
        </is>
      </c>
      <c r="C37" s="5" t="n">
        <v>45496</v>
      </c>
      <c r="D37" t="n">
        <v>22594.61</v>
      </c>
      <c r="E37" t="inlineStr">
        <is>
          <t>Mobile app release (2024)</t>
        </is>
      </c>
      <c r="F37" t="inlineStr">
        <is>
          <t>Capitalised development</t>
        </is>
      </c>
      <c r="G37" t="n">
        <v>36</v>
      </c>
      <c r="H37" t="inlineStr">
        <is>
          <t>CC-400</t>
        </is>
      </c>
      <c r="I37" t="inlineStr">
        <is>
          <t>movements_2024_07.csv</t>
        </is>
      </c>
    </row>
    <row r="38">
      <c r="A38" t="inlineStr">
        <is>
          <t>IA-00325</t>
        </is>
      </c>
      <c r="B38" t="inlineStr">
        <is>
          <t>ADDITION</t>
        </is>
      </c>
      <c r="C38" s="5" t="n">
        <v>45516</v>
      </c>
      <c r="D38" t="n">
        <v>116682.28</v>
      </c>
      <c r="E38" t="inlineStr">
        <is>
          <t>Duct usage right (2024)</t>
        </is>
      </c>
      <c r="F38" t="inlineStr">
        <is>
          <t>Usage rights</t>
        </is>
      </c>
      <c r="G38" t="n">
        <v>120</v>
      </c>
      <c r="H38" t="inlineStr">
        <is>
          <t>CC-500</t>
        </is>
      </c>
      <c r="I38" t="inlineStr">
        <is>
          <t>movements_2024_08.csv</t>
        </is>
      </c>
    </row>
    <row r="39">
      <c r="A39" t="inlineStr">
        <is>
          <t>IA-00373</t>
        </is>
      </c>
      <c r="B39" t="inlineStr">
        <is>
          <t>TRANSFER</t>
        </is>
      </c>
      <c r="C39" s="5" t="n">
        <v>45522</v>
      </c>
      <c r="H39" t="inlineStr">
        <is>
          <t>CC-600</t>
        </is>
      </c>
      <c r="I39" t="inlineStr">
        <is>
          <t>movements_2024_08.csv</t>
        </is>
      </c>
    </row>
    <row r="40">
      <c r="A40" t="inlineStr">
        <is>
          <t>IA-00344</t>
        </is>
      </c>
      <c r="B40" t="inlineStr">
        <is>
          <t>ADDITION</t>
        </is>
      </c>
      <c r="C40" s="5" t="n">
        <v>45526</v>
      </c>
      <c r="D40" t="n">
        <v>46226.14</v>
      </c>
      <c r="E40" t="inlineStr">
        <is>
          <t>Monitoring tool licence (2024)</t>
        </is>
      </c>
      <c r="F40" t="inlineStr">
        <is>
          <t>Software licences</t>
        </is>
      </c>
      <c r="G40" t="n">
        <v>48</v>
      </c>
      <c r="H40" t="inlineStr">
        <is>
          <t>CC-100</t>
        </is>
      </c>
      <c r="I40" t="inlineStr">
        <is>
          <t>movements_2024_08.csv</t>
        </is>
      </c>
    </row>
    <row r="41">
      <c r="A41" t="inlineStr">
        <is>
          <t>IA-00066</t>
        </is>
      </c>
      <c r="B41" t="inlineStr">
        <is>
          <t>DISPOSAL</t>
        </is>
      </c>
      <c r="C41" s="5" t="n">
        <v>45531</v>
      </c>
      <c r="E41" t="inlineStr">
        <is>
          <t>Collaboration suite licence (2022)</t>
        </is>
      </c>
      <c r="I41" t="inlineStr">
        <is>
          <t>movements_2024_08.csv</t>
        </is>
      </c>
    </row>
    <row r="42">
      <c r="A42" t="inlineStr">
        <is>
          <t>IA-00048</t>
        </is>
      </c>
      <c r="B42" t="inlineStr">
        <is>
          <t>TRANSFER</t>
        </is>
      </c>
      <c r="C42" s="5" t="n">
        <v>45539</v>
      </c>
      <c r="H42" t="inlineStr">
        <is>
          <t>CC-300</t>
        </is>
      </c>
      <c r="I42" t="inlineStr">
        <is>
          <t>movements_2024_09.csv</t>
        </is>
      </c>
    </row>
    <row r="43">
      <c r="A43" t="inlineStr">
        <is>
          <t>IA-00322</t>
        </is>
      </c>
      <c r="B43" t="inlineStr">
        <is>
          <t>ADDITION</t>
        </is>
      </c>
      <c r="C43" s="5" t="n">
        <v>45544</v>
      </c>
      <c r="D43" t="n">
        <v>32377.61</v>
      </c>
      <c r="E43" t="inlineStr">
        <is>
          <t>Security software licence (2024)</t>
        </is>
      </c>
      <c r="F43" t="inlineStr">
        <is>
          <t>Software licences</t>
        </is>
      </c>
      <c r="G43" t="n">
        <v>36</v>
      </c>
      <c r="H43" t="inlineStr">
        <is>
          <t>CC-100</t>
        </is>
      </c>
      <c r="I43" t="inlineStr">
        <is>
          <t>movements_2024_09.csv</t>
        </is>
      </c>
    </row>
    <row r="44">
      <c r="A44" t="inlineStr">
        <is>
          <t>IA-00188</t>
        </is>
      </c>
      <c r="B44" t="inlineStr">
        <is>
          <t>DISPOSAL</t>
        </is>
      </c>
      <c r="C44" s="5" t="n">
        <v>45549</v>
      </c>
      <c r="E44" t="inlineStr">
        <is>
          <t>Integration layer (2019)</t>
        </is>
      </c>
      <c r="I44" t="inlineStr">
        <is>
          <t>movements_2024_09.csv</t>
        </is>
      </c>
    </row>
    <row r="45">
      <c r="A45" t="inlineStr">
        <is>
          <t>IA-00355</t>
        </is>
      </c>
      <c r="B45" t="inlineStr">
        <is>
          <t>ADDITION</t>
        </is>
      </c>
      <c r="C45" s="5" t="n">
        <v>45549</v>
      </c>
      <c r="D45" t="n">
        <v>96299.2</v>
      </c>
      <c r="E45" t="inlineStr">
        <is>
          <t>Database licence (2024)</t>
        </is>
      </c>
      <c r="F45" t="inlineStr">
        <is>
          <t>Software licences</t>
        </is>
      </c>
      <c r="G45" t="n">
        <v>36</v>
      </c>
      <c r="H45" t="inlineStr">
        <is>
          <t>CC-100</t>
        </is>
      </c>
      <c r="I45" t="inlineStr">
        <is>
          <t>movements_2024_09.csv</t>
        </is>
      </c>
    </row>
    <row r="46">
      <c r="A46" t="inlineStr">
        <is>
          <t>IA-00399</t>
        </is>
      </c>
      <c r="B46" t="inlineStr">
        <is>
          <t>ADDITION</t>
        </is>
      </c>
      <c r="C46" s="5" t="n">
        <v>45568</v>
      </c>
      <c r="D46" t="n">
        <v>22390.24</v>
      </c>
      <c r="E46" t="inlineStr">
        <is>
          <t>Collaboration suite licence (2024)</t>
        </is>
      </c>
      <c r="F46" t="inlineStr">
        <is>
          <t>Software licences</t>
        </is>
      </c>
      <c r="G46" t="n">
        <v>48</v>
      </c>
      <c r="H46" t="inlineStr">
        <is>
          <t>CC-300</t>
        </is>
      </c>
      <c r="I46" t="inlineStr">
        <is>
          <t>movements_2024_10.csv</t>
        </is>
      </c>
    </row>
    <row r="47">
      <c r="A47" t="inlineStr">
        <is>
          <t>IA-00014</t>
        </is>
      </c>
      <c r="B47" t="inlineStr">
        <is>
          <t>DISPOSAL</t>
        </is>
      </c>
      <c r="C47" s="5" t="n">
        <v>45579</v>
      </c>
      <c r="E47" t="inlineStr">
        <is>
          <t>ERP licence (2021)</t>
        </is>
      </c>
      <c r="I47" t="inlineStr">
        <is>
          <t>movements_2024_10.csv</t>
        </is>
      </c>
    </row>
    <row r="48">
      <c r="A48" t="inlineStr">
        <is>
          <t>IA-00377</t>
        </is>
      </c>
      <c r="B48" t="inlineStr">
        <is>
          <t>ADDITION</t>
        </is>
      </c>
      <c r="C48" s="5" t="n">
        <v>45580</v>
      </c>
      <c r="D48" t="n">
        <v>437151.85</v>
      </c>
      <c r="E48" t="inlineStr">
        <is>
          <t>Billing engine module (2024)</t>
        </is>
      </c>
      <c r="F48" t="inlineStr">
        <is>
          <t>Capitalised development</t>
        </is>
      </c>
      <c r="G48" t="n">
        <v>60</v>
      </c>
      <c r="H48" t="inlineStr">
        <is>
          <t>CC-300</t>
        </is>
      </c>
      <c r="I48" t="inlineStr">
        <is>
          <t>movements_2024_10.csv</t>
        </is>
      </c>
    </row>
    <row r="49">
      <c r="A49" t="inlineStr">
        <is>
          <t>IA-00199</t>
        </is>
      </c>
      <c r="B49" t="inlineStr">
        <is>
          <t>DISPOSAL</t>
        </is>
      </c>
      <c r="C49" s="5" t="n">
        <v>45594</v>
      </c>
      <c r="E49" t="inlineStr">
        <is>
          <t>Domain portfolio (2017)</t>
        </is>
      </c>
      <c r="I49" t="inlineStr">
        <is>
          <t>movements_2024_10.csv</t>
        </is>
      </c>
    </row>
    <row r="50">
      <c r="A50" t="inlineStr">
        <is>
          <t>IA-00141</t>
        </is>
      </c>
      <c r="B50" t="inlineStr">
        <is>
          <t>TRANSFER</t>
        </is>
      </c>
      <c r="C50" s="5" t="n">
        <v>45596</v>
      </c>
      <c r="H50" t="inlineStr">
        <is>
          <t>CC-600</t>
        </is>
      </c>
      <c r="I50" t="inlineStr">
        <is>
          <t>movements_2024_10.csv</t>
        </is>
      </c>
    </row>
    <row r="51">
      <c r="A51" t="inlineStr">
        <is>
          <t>IA-00120</t>
        </is>
      </c>
      <c r="B51" t="inlineStr">
        <is>
          <t>DISPOSAL</t>
        </is>
      </c>
      <c r="C51" s="5" t="n">
        <v>45597</v>
      </c>
      <c r="E51" t="inlineStr">
        <is>
          <t>Self-care portal release (2017)</t>
        </is>
      </c>
      <c r="I51" t="inlineStr">
        <is>
          <t>movements_2024_11.csv</t>
        </is>
      </c>
    </row>
    <row r="52">
      <c r="A52" t="inlineStr">
        <is>
          <t>IA-00018</t>
        </is>
      </c>
      <c r="B52" t="inlineStr">
        <is>
          <t>DISPOSAL</t>
        </is>
      </c>
      <c r="C52" s="5" t="n">
        <v>45602</v>
      </c>
      <c r="E52" t="inlineStr">
        <is>
          <t>Data warehouse build (2020)</t>
        </is>
      </c>
      <c r="I52" t="inlineStr">
        <is>
          <t>movements_2024_11.csv</t>
        </is>
      </c>
    </row>
    <row r="53">
      <c r="A53" t="inlineStr">
        <is>
          <t>IA-00048</t>
        </is>
      </c>
      <c r="B53" t="inlineStr">
        <is>
          <t>DISPOSAL</t>
        </is>
      </c>
      <c r="C53" s="5" t="n">
        <v>45603</v>
      </c>
      <c r="E53" t="inlineStr">
        <is>
          <t>Security software licence (2022)</t>
        </is>
      </c>
      <c r="I53" t="inlineStr">
        <is>
          <t>movements_2024_11.csv</t>
        </is>
      </c>
    </row>
    <row r="54">
      <c r="A54" t="inlineStr">
        <is>
          <t>IA-00236</t>
        </is>
      </c>
      <c r="B54" t="inlineStr">
        <is>
          <t>TRANSFER</t>
        </is>
      </c>
      <c r="C54" s="5" t="n">
        <v>45615</v>
      </c>
      <c r="H54" t="inlineStr">
        <is>
          <t>CC-200</t>
        </is>
      </c>
      <c r="I54" t="inlineStr">
        <is>
          <t>movements_2024_11.csv</t>
        </is>
      </c>
    </row>
    <row r="55">
      <c r="A55" t="inlineStr">
        <is>
          <t>IA-00334</t>
        </is>
      </c>
      <c r="B55" t="inlineStr">
        <is>
          <t>ADDITION</t>
        </is>
      </c>
      <c r="C55" s="5" t="n">
        <v>45621</v>
      </c>
      <c r="D55" t="n">
        <v>19488.92</v>
      </c>
      <c r="E55" t="inlineStr">
        <is>
          <t>Domain portfolio (2024)</t>
        </is>
      </c>
      <c r="F55" t="inlineStr">
        <is>
          <t>Trademarks and other rights</t>
        </is>
      </c>
      <c r="G55" t="n">
        <v>60</v>
      </c>
      <c r="H55" t="inlineStr">
        <is>
          <t>CC-300</t>
        </is>
      </c>
      <c r="I55" t="inlineStr">
        <is>
          <t>movements_2024_11.csv</t>
        </is>
      </c>
    </row>
    <row r="56">
      <c r="A56" t="inlineStr">
        <is>
          <t>IA-00130</t>
        </is>
      </c>
      <c r="B56" t="inlineStr">
        <is>
          <t>TRANSFER</t>
        </is>
      </c>
      <c r="C56" s="5" t="n">
        <v>45622</v>
      </c>
      <c r="H56" t="inlineStr">
        <is>
          <t>CC-500</t>
        </is>
      </c>
      <c r="I56" t="inlineStr">
        <is>
          <t>movements_2024_11.csv</t>
        </is>
      </c>
    </row>
    <row r="57">
      <c r="A57" t="inlineStr">
        <is>
          <t>IA-00383</t>
        </is>
      </c>
      <c r="B57" t="inlineStr">
        <is>
          <t>ADDITION</t>
        </is>
      </c>
      <c r="C57" s="5" t="n">
        <v>45622</v>
      </c>
      <c r="D57" t="n">
        <v>173181.72</v>
      </c>
      <c r="E57" t="inlineStr">
        <is>
          <t>Analytics suite licence (2024)</t>
        </is>
      </c>
      <c r="F57" t="inlineStr">
        <is>
          <t>Software licences</t>
        </is>
      </c>
      <c r="G57" t="n">
        <v>36</v>
      </c>
      <c r="H57" t="inlineStr">
        <is>
          <t>CC-200</t>
        </is>
      </c>
      <c r="I57" t="inlineStr">
        <is>
          <t>movements_2024_11.csv</t>
        </is>
      </c>
    </row>
    <row r="58">
      <c r="A58" t="inlineStr">
        <is>
          <t>IA-00366</t>
        </is>
      </c>
      <c r="B58" t="inlineStr">
        <is>
          <t>ADDITION</t>
        </is>
      </c>
      <c r="C58" s="5" t="n">
        <v>45631</v>
      </c>
      <c r="D58" t="n">
        <v>270729.4</v>
      </c>
      <c r="E58" t="inlineStr">
        <is>
          <t>CRM licence (2024)</t>
        </is>
      </c>
      <c r="F58" t="inlineStr">
        <is>
          <t>Software licences</t>
        </is>
      </c>
      <c r="G58" t="n">
        <v>60</v>
      </c>
      <c r="H58" t="inlineStr">
        <is>
          <t>CC-400</t>
        </is>
      </c>
      <c r="I58" t="inlineStr">
        <is>
          <t>movements_2024_12.csv</t>
        </is>
      </c>
    </row>
    <row r="59">
      <c r="A59" t="inlineStr">
        <is>
          <t>IA-00370</t>
        </is>
      </c>
      <c r="B59" t="inlineStr">
        <is>
          <t>ADDITION</t>
        </is>
      </c>
      <c r="C59" s="5" t="n">
        <v>45639</v>
      </c>
      <c r="D59" t="n">
        <v>116382.78</v>
      </c>
      <c r="E59" t="inlineStr">
        <is>
          <t>Database licence (2024)</t>
        </is>
      </c>
      <c r="F59" t="inlineStr">
        <is>
          <t>Software licences</t>
        </is>
      </c>
      <c r="G59" t="n">
        <v>36</v>
      </c>
      <c r="H59" t="inlineStr">
        <is>
          <t>CC-100</t>
        </is>
      </c>
      <c r="I59" t="inlineStr">
        <is>
          <t>movements_2024_12.csv</t>
        </is>
      </c>
    </row>
    <row r="60">
      <c r="A60" t="inlineStr">
        <is>
          <t>IA-00384</t>
        </is>
      </c>
      <c r="B60" t="inlineStr">
        <is>
          <t>ADDITION</t>
        </is>
      </c>
      <c r="C60" s="5" t="n">
        <v>45639</v>
      </c>
      <c r="D60" t="n">
        <v>16208.54</v>
      </c>
      <c r="E60" t="inlineStr">
        <is>
          <t>Domain portfolio (2024)</t>
        </is>
      </c>
      <c r="F60" t="inlineStr">
        <is>
          <t>Trademarks and other rights</t>
        </is>
      </c>
      <c r="G60" t="n">
        <v>60</v>
      </c>
      <c r="H60" t="inlineStr">
        <is>
          <t>CC-200</t>
        </is>
      </c>
      <c r="I60" t="inlineStr">
        <is>
          <t>movements_2024_12.csv</t>
        </is>
      </c>
    </row>
    <row r="61">
      <c r="A61" t="inlineStr">
        <is>
          <t>IA-00354</t>
        </is>
      </c>
      <c r="B61" t="inlineStr">
        <is>
          <t>ADDITION</t>
        </is>
      </c>
      <c r="C61" s="5" t="n">
        <v>45640</v>
      </c>
      <c r="D61" t="n">
        <v>19977.21</v>
      </c>
      <c r="E61" t="inlineStr">
        <is>
          <t>Analytics suite licence (2024)</t>
        </is>
      </c>
      <c r="F61" t="inlineStr">
        <is>
          <t>Software licences</t>
        </is>
      </c>
      <c r="G61" t="n">
        <v>36</v>
      </c>
      <c r="H61" t="inlineStr">
        <is>
          <t>CC-500</t>
        </is>
      </c>
      <c r="I61" t="inlineStr">
        <is>
          <t>movements_2024_12.csv</t>
        </is>
      </c>
    </row>
    <row r="62">
      <c r="A62" t="inlineStr">
        <is>
          <t>IA-00182</t>
        </is>
      </c>
      <c r="B62" t="inlineStr">
        <is>
          <t>TRANSFER</t>
        </is>
      </c>
      <c r="C62" s="5" t="n">
        <v>45644</v>
      </c>
      <c r="H62" t="inlineStr">
        <is>
          <t>CC-400</t>
        </is>
      </c>
      <c r="I62" t="inlineStr">
        <is>
          <t>movements_2024_12.csv</t>
        </is>
      </c>
    </row>
    <row r="63">
      <c r="A63" t="inlineStr">
        <is>
          <t>IA-00333</t>
        </is>
      </c>
      <c r="B63" t="inlineStr">
        <is>
          <t>ADDITION</t>
        </is>
      </c>
      <c r="C63" s="5" t="n">
        <v>45644</v>
      </c>
      <c r="D63" t="n">
        <v>667991.8199999999</v>
      </c>
      <c r="E63" t="inlineStr">
        <is>
          <t>Data warehouse build (2024)</t>
        </is>
      </c>
      <c r="F63" t="inlineStr">
        <is>
          <t>Capitalised development</t>
        </is>
      </c>
      <c r="G63" t="n">
        <v>48</v>
      </c>
      <c r="H63" t="inlineStr">
        <is>
          <t>CC-300</t>
        </is>
      </c>
      <c r="I63" t="inlineStr">
        <is>
          <t>movements_2024_12.csv</t>
        </is>
      </c>
    </row>
    <row r="64">
      <c r="A64" t="inlineStr">
        <is>
          <t>IA-00393</t>
        </is>
      </c>
      <c r="B64" t="inlineStr">
        <is>
          <t>ADDITION</t>
        </is>
      </c>
      <c r="C64" s="5" t="n">
        <v>45653</v>
      </c>
      <c r="D64" t="n">
        <v>6962.24</v>
      </c>
      <c r="E64" t="inlineStr">
        <is>
          <t>Collaboration suite licence (2024)</t>
        </is>
      </c>
      <c r="F64" t="inlineStr">
        <is>
          <t>Software licences</t>
        </is>
      </c>
      <c r="G64" t="n">
        <v>60</v>
      </c>
      <c r="H64" t="inlineStr">
        <is>
          <t>CC-200</t>
        </is>
      </c>
      <c r="I64" t="inlineStr">
        <is>
          <t>movements_2024_12.csv</t>
        </is>
      </c>
    </row>
    <row r="65">
      <c r="A65" t="inlineStr">
        <is>
          <t>IA-00331</t>
        </is>
      </c>
      <c r="B65" t="inlineStr">
        <is>
          <t>ADDITION</t>
        </is>
      </c>
      <c r="C65" s="5" t="n">
        <v>45656</v>
      </c>
      <c r="D65" t="n">
        <v>211620.55</v>
      </c>
      <c r="E65" t="inlineStr">
        <is>
          <t>Integration layer (2024)</t>
        </is>
      </c>
      <c r="F65" t="inlineStr">
        <is>
          <t>Capitalised development</t>
        </is>
      </c>
      <c r="G65" t="n">
        <v>60</v>
      </c>
      <c r="H65" t="inlineStr">
        <is>
          <t>CC-600</t>
        </is>
      </c>
      <c r="I65" t="inlineStr">
        <is>
          <t>movements_2024_12.csv</t>
        </is>
      </c>
    </row>
    <row r="66">
      <c r="A66" t="inlineStr">
        <is>
          <t>IA-00117</t>
        </is>
      </c>
      <c r="B66" t="inlineStr">
        <is>
          <t>DISPOSAL</t>
        </is>
      </c>
      <c r="C66" s="5" t="n">
        <v>45659</v>
      </c>
      <c r="E66" t="inlineStr">
        <is>
          <t>Analytics suite licence (2020)</t>
        </is>
      </c>
      <c r="I66" t="inlineStr">
        <is>
          <t>movements_2025_01.csv</t>
        </is>
      </c>
    </row>
    <row r="67">
      <c r="A67" t="inlineStr">
        <is>
          <t>IA-00166</t>
        </is>
      </c>
      <c r="B67" t="inlineStr">
        <is>
          <t>DISPOSAL</t>
        </is>
      </c>
      <c r="C67" s="5" t="n">
        <v>45659</v>
      </c>
      <c r="E67" t="inlineStr">
        <is>
          <t>Collaboration suite licence (2020)</t>
        </is>
      </c>
      <c r="I67" t="inlineStr">
        <is>
          <t>movements_2025_01.csv</t>
        </is>
      </c>
    </row>
    <row r="68">
      <c r="A68" t="inlineStr">
        <is>
          <t>IA-00386</t>
        </is>
      </c>
      <c r="B68" t="inlineStr">
        <is>
          <t>ADDITION</t>
        </is>
      </c>
      <c r="C68" s="5" t="n">
        <v>45659</v>
      </c>
      <c r="D68" t="n">
        <v>359597.59</v>
      </c>
      <c r="E68" t="inlineStr">
        <is>
          <t>Domain portfolio (2025)</t>
        </is>
      </c>
      <c r="F68" t="inlineStr">
        <is>
          <t>Trademarks and other rights</t>
        </is>
      </c>
      <c r="G68" t="n">
        <v>60</v>
      </c>
      <c r="H68" t="inlineStr">
        <is>
          <t>CC-600</t>
        </is>
      </c>
      <c r="I68" t="inlineStr">
        <is>
          <t>movements_2025_01.csv</t>
        </is>
      </c>
    </row>
    <row r="69">
      <c r="A69" t="inlineStr">
        <is>
          <t>IA-00006</t>
        </is>
      </c>
      <c r="B69" t="inlineStr">
        <is>
          <t>TRANSFER</t>
        </is>
      </c>
      <c r="C69" s="5" t="n">
        <v>45666</v>
      </c>
      <c r="H69" t="inlineStr">
        <is>
          <t>CC-400</t>
        </is>
      </c>
      <c r="I69" t="inlineStr">
        <is>
          <t>movements_2025_01.csv</t>
        </is>
      </c>
    </row>
    <row r="70">
      <c r="A70" t="inlineStr">
        <is>
          <t>IA-00318</t>
        </is>
      </c>
      <c r="B70" t="inlineStr">
        <is>
          <t>DISPOSAL</t>
        </is>
      </c>
      <c r="C70" s="5" t="n">
        <v>45676</v>
      </c>
      <c r="E70" t="inlineStr">
        <is>
          <t>ERP licence (2022)</t>
        </is>
      </c>
      <c r="I70" t="inlineStr">
        <is>
          <t>movements_2025_01.csv</t>
        </is>
      </c>
    </row>
    <row r="71">
      <c r="A71" t="inlineStr">
        <is>
          <t>IA-00341</t>
        </is>
      </c>
      <c r="B71" t="inlineStr">
        <is>
          <t>ADDITION</t>
        </is>
      </c>
      <c r="C71" s="5" t="n">
        <v>45677</v>
      </c>
      <c r="D71" t="n">
        <v>105623.35</v>
      </c>
      <c r="E71" t="inlineStr">
        <is>
          <t>Patent licence (2025)</t>
        </is>
      </c>
      <c r="F71" t="inlineStr">
        <is>
          <t>Trademarks and other rights</t>
        </is>
      </c>
      <c r="G71" t="n">
        <v>60</v>
      </c>
      <c r="H71" t="inlineStr">
        <is>
          <t>CC-600</t>
        </is>
      </c>
      <c r="I71" t="inlineStr">
        <is>
          <t>movements_2025_01.csv</t>
        </is>
      </c>
    </row>
    <row r="72">
      <c r="A72" t="inlineStr">
        <is>
          <t>IA-00342</t>
        </is>
      </c>
      <c r="B72" t="inlineStr">
        <is>
          <t>ADDITION</t>
        </is>
      </c>
      <c r="C72" s="5" t="n">
        <v>45678</v>
      </c>
      <c r="D72" t="n">
        <v>165743.41</v>
      </c>
      <c r="E72" t="inlineStr">
        <is>
          <t>Collaboration suite licence (2025)</t>
        </is>
      </c>
      <c r="F72" t="inlineStr">
        <is>
          <t>Software licences</t>
        </is>
      </c>
      <c r="G72" t="n">
        <v>36</v>
      </c>
      <c r="H72" t="inlineStr">
        <is>
          <t>CC-200</t>
        </is>
      </c>
      <c r="I72" t="inlineStr">
        <is>
          <t>movements_2025_01.csv</t>
        </is>
      </c>
    </row>
    <row r="73">
      <c r="A73" t="inlineStr">
        <is>
          <t>IA-00388</t>
        </is>
      </c>
      <c r="B73" t="inlineStr">
        <is>
          <t>ADDITION</t>
        </is>
      </c>
      <c r="C73" s="5" t="n">
        <v>45679</v>
      </c>
      <c r="D73" t="n">
        <v>315125.41</v>
      </c>
      <c r="E73" t="inlineStr">
        <is>
          <t>Monitoring tool licence (2025)</t>
        </is>
      </c>
      <c r="F73" t="inlineStr">
        <is>
          <t>Software licences</t>
        </is>
      </c>
      <c r="G73" t="n">
        <v>36</v>
      </c>
      <c r="H73" t="inlineStr">
        <is>
          <t>CC-200</t>
        </is>
      </c>
      <c r="I73" t="inlineStr">
        <is>
          <t>movements_2025_01.csv</t>
        </is>
      </c>
    </row>
    <row r="74">
      <c r="A74" t="inlineStr">
        <is>
          <t>IA-00396</t>
        </is>
      </c>
      <c r="B74" t="inlineStr">
        <is>
          <t>ADDITION</t>
        </is>
      </c>
      <c r="C74" s="5" t="n">
        <v>45681</v>
      </c>
      <c r="D74" t="n">
        <v>39369.25</v>
      </c>
      <c r="E74" t="inlineStr">
        <is>
          <t>Self-care portal release (2025)</t>
        </is>
      </c>
      <c r="F74" t="inlineStr">
        <is>
          <t>Capitalised development</t>
        </is>
      </c>
      <c r="G74" t="n">
        <v>48</v>
      </c>
      <c r="H74" t="inlineStr">
        <is>
          <t>CC-300</t>
        </is>
      </c>
      <c r="I74" t="inlineStr">
        <is>
          <t>movements_2025_01.csv</t>
        </is>
      </c>
    </row>
    <row r="75">
      <c r="A75" t="inlineStr">
        <is>
          <t>IA-00352</t>
        </is>
      </c>
      <c r="B75" t="inlineStr">
        <is>
          <t>ADDITION</t>
        </is>
      </c>
      <c r="C75" s="5" t="n">
        <v>45693</v>
      </c>
      <c r="D75" t="n">
        <v>17392.92</v>
      </c>
      <c r="E75" t="inlineStr">
        <is>
          <t>Brand licence (2025)</t>
        </is>
      </c>
      <c r="F75" t="inlineStr">
        <is>
          <t>Trademarks and other rights</t>
        </is>
      </c>
      <c r="G75" t="n">
        <v>60</v>
      </c>
      <c r="H75" t="inlineStr">
        <is>
          <t>CC-600</t>
        </is>
      </c>
      <c r="I75" t="inlineStr">
        <is>
          <t>movements_2025_02.csv</t>
        </is>
      </c>
    </row>
    <row r="76">
      <c r="A76" t="inlineStr">
        <is>
          <t>IA-00195</t>
        </is>
      </c>
      <c r="B76" t="inlineStr">
        <is>
          <t>DISPOSAL</t>
        </is>
      </c>
      <c r="C76" s="5" t="n">
        <v>45705</v>
      </c>
      <c r="E76" t="inlineStr">
        <is>
          <t>Security software licence (2021)</t>
        </is>
      </c>
      <c r="I76" t="inlineStr">
        <is>
          <t>movements_2025_02.csv</t>
        </is>
      </c>
    </row>
    <row r="77">
      <c r="A77" t="inlineStr">
        <is>
          <t>IA-00326</t>
        </is>
      </c>
      <c r="B77" t="inlineStr">
        <is>
          <t>ADDITION</t>
        </is>
      </c>
      <c r="C77" s="5" t="n">
        <v>45707</v>
      </c>
      <c r="D77" t="n">
        <v>14619.08</v>
      </c>
      <c r="E77" t="inlineStr">
        <is>
          <t>Collaboration suite licence (2025)</t>
        </is>
      </c>
      <c r="F77" t="inlineStr">
        <is>
          <t>Software licences</t>
        </is>
      </c>
      <c r="G77" t="n">
        <v>48</v>
      </c>
      <c r="H77" t="inlineStr">
        <is>
          <t>CC-300</t>
        </is>
      </c>
      <c r="I77" t="inlineStr">
        <is>
          <t>movements_2025_02.csv</t>
        </is>
      </c>
    </row>
    <row r="78">
      <c r="A78" t="inlineStr">
        <is>
          <t>IA-00336</t>
        </is>
      </c>
      <c r="B78" t="inlineStr">
        <is>
          <t>ADDITION</t>
        </is>
      </c>
      <c r="C78" s="5" t="n">
        <v>45708</v>
      </c>
      <c r="D78" t="n">
        <v>7974.05</v>
      </c>
      <c r="E78" t="inlineStr">
        <is>
          <t>Monitoring tool licence (2025)</t>
        </is>
      </c>
      <c r="F78" t="inlineStr">
        <is>
          <t>Software licences</t>
        </is>
      </c>
      <c r="G78" t="n">
        <v>60</v>
      </c>
      <c r="H78" t="inlineStr">
        <is>
          <t>CC-100</t>
        </is>
      </c>
      <c r="I78" t="inlineStr">
        <is>
          <t>movements_2025_02.csv</t>
        </is>
      </c>
    </row>
    <row r="79">
      <c r="A79" t="inlineStr">
        <is>
          <t>IA-00363</t>
        </is>
      </c>
      <c r="B79" t="inlineStr">
        <is>
          <t>ADDITION</t>
        </is>
      </c>
      <c r="C79" s="5" t="n">
        <v>45710</v>
      </c>
      <c r="D79" t="n">
        <v>7949.01</v>
      </c>
      <c r="E79" t="inlineStr">
        <is>
          <t>Security software licence (2025)</t>
        </is>
      </c>
      <c r="F79" t="inlineStr">
        <is>
          <t>Software licences</t>
        </is>
      </c>
      <c r="G79" t="n">
        <v>60</v>
      </c>
      <c r="H79" t="inlineStr">
        <is>
          <t>CC-500</t>
        </is>
      </c>
      <c r="I79" t="inlineStr">
        <is>
          <t>movements_2025_02.csv</t>
        </is>
      </c>
    </row>
    <row r="80">
      <c r="A80" t="inlineStr">
        <is>
          <t>IA-00103</t>
        </is>
      </c>
      <c r="B80" t="inlineStr">
        <is>
          <t>TRANSFER</t>
        </is>
      </c>
      <c r="C80" s="5" t="n">
        <v>45729</v>
      </c>
      <c r="H80" t="inlineStr">
        <is>
          <t>CC-200</t>
        </is>
      </c>
      <c r="I80" t="inlineStr">
        <is>
          <t>movements_2025_03.csv</t>
        </is>
      </c>
    </row>
    <row r="81">
      <c r="A81" t="inlineStr">
        <is>
          <t>IA-00332</t>
        </is>
      </c>
      <c r="B81" t="inlineStr">
        <is>
          <t>ADDITION</t>
        </is>
      </c>
      <c r="C81" s="5" t="n">
        <v>45732</v>
      </c>
      <c r="D81" t="n">
        <v>331359.37</v>
      </c>
      <c r="E81" t="inlineStr">
        <is>
          <t>Order management feature (2025)</t>
        </is>
      </c>
      <c r="F81" t="inlineStr">
        <is>
          <t>Capitalised development</t>
        </is>
      </c>
      <c r="G81" t="n">
        <v>36</v>
      </c>
      <c r="H81" t="inlineStr">
        <is>
          <t>CC-100</t>
        </is>
      </c>
      <c r="I81" t="inlineStr">
        <is>
          <t>movements_2025_03.csv</t>
        </is>
      </c>
    </row>
    <row r="82">
      <c r="A82" t="inlineStr">
        <is>
          <t>IA-00350</t>
        </is>
      </c>
      <c r="B82" t="inlineStr">
        <is>
          <t>ADDITION</t>
        </is>
      </c>
      <c r="C82" s="5" t="n">
        <v>45735</v>
      </c>
      <c r="D82" t="n">
        <v>29217.81</v>
      </c>
      <c r="E82" t="inlineStr">
        <is>
          <t>Monitoring tool licence (2025)</t>
        </is>
      </c>
      <c r="F82" t="inlineStr">
        <is>
          <t>Software licences</t>
        </is>
      </c>
      <c r="G82" t="n">
        <v>48</v>
      </c>
      <c r="H82" t="inlineStr">
        <is>
          <t>CC-500</t>
        </is>
      </c>
      <c r="I82" t="inlineStr">
        <is>
          <t>movements_2025_03.csv</t>
        </is>
      </c>
    </row>
    <row r="83">
      <c r="A83" t="inlineStr">
        <is>
          <t>IA-00327</t>
        </is>
      </c>
      <c r="B83" t="inlineStr">
        <is>
          <t>ADDITION</t>
        </is>
      </c>
      <c r="C83" s="5" t="n">
        <v>45738</v>
      </c>
      <c r="D83" t="n">
        <v>214726.01</v>
      </c>
      <c r="E83" t="inlineStr">
        <is>
          <t>Reporting platform (2025)</t>
        </is>
      </c>
      <c r="F83" t="inlineStr">
        <is>
          <t>Capitalised development</t>
        </is>
      </c>
      <c r="G83" t="n">
        <v>36</v>
      </c>
      <c r="H83" t="inlineStr">
        <is>
          <t>CC-100</t>
        </is>
      </c>
      <c r="I83" t="inlineStr">
        <is>
          <t>movements_2025_03.csv</t>
        </is>
      </c>
    </row>
    <row r="84">
      <c r="A84" t="inlineStr">
        <is>
          <t>IA-00356</t>
        </is>
      </c>
      <c r="B84" t="inlineStr">
        <is>
          <t>ADDITION</t>
        </is>
      </c>
      <c r="C84" s="5" t="n">
        <v>45738</v>
      </c>
      <c r="D84" t="n">
        <v>384587.27</v>
      </c>
      <c r="E84" t="inlineStr">
        <is>
          <t>Order management feature (2025)</t>
        </is>
      </c>
      <c r="F84" t="inlineStr">
        <is>
          <t>Capitalised development</t>
        </is>
      </c>
      <c r="G84" t="n">
        <v>60</v>
      </c>
      <c r="H84" t="inlineStr">
        <is>
          <t>CC-400</t>
        </is>
      </c>
      <c r="I84" t="inlineStr">
        <is>
          <t>movements_2025_03.csv</t>
        </is>
      </c>
    </row>
    <row r="85">
      <c r="A85" t="inlineStr">
        <is>
          <t>IA-00337</t>
        </is>
      </c>
      <c r="B85" t="inlineStr">
        <is>
          <t>ADDITION</t>
        </is>
      </c>
      <c r="C85" s="5" t="n">
        <v>45750</v>
      </c>
      <c r="D85" t="n">
        <v>17203.53</v>
      </c>
      <c r="E85" t="inlineStr">
        <is>
          <t>Database licence (2025)</t>
        </is>
      </c>
      <c r="F85" t="inlineStr">
        <is>
          <t>Software licences</t>
        </is>
      </c>
      <c r="G85" t="n">
        <v>36</v>
      </c>
      <c r="H85" t="inlineStr">
        <is>
          <t>CC-400</t>
        </is>
      </c>
      <c r="I85" t="inlineStr">
        <is>
          <t>movements_2025_04.csv</t>
        </is>
      </c>
    </row>
    <row r="86">
      <c r="A86" t="inlineStr">
        <is>
          <t>IA-00345</t>
        </is>
      </c>
      <c r="B86" t="inlineStr">
        <is>
          <t>ADDITION</t>
        </is>
      </c>
      <c r="C86" s="5" t="n">
        <v>45757</v>
      </c>
      <c r="D86" t="n">
        <v>94640</v>
      </c>
      <c r="E86" t="inlineStr">
        <is>
          <t>Mobile app release (2025)</t>
        </is>
      </c>
      <c r="F86" t="inlineStr">
        <is>
          <t>Capitalised development</t>
        </is>
      </c>
      <c r="G86" t="n">
        <v>60</v>
      </c>
      <c r="H86" t="inlineStr">
        <is>
          <t>CC-500</t>
        </is>
      </c>
      <c r="I86" t="inlineStr">
        <is>
          <t>movements_2025_04.csv</t>
        </is>
      </c>
    </row>
    <row r="87">
      <c r="A87" t="inlineStr">
        <is>
          <t>IA-00372</t>
        </is>
      </c>
      <c r="B87" t="inlineStr">
        <is>
          <t>ADDITION</t>
        </is>
      </c>
      <c r="C87" s="5" t="n">
        <v>45767</v>
      </c>
      <c r="D87" t="n">
        <v>15334.76</v>
      </c>
      <c r="E87" t="inlineStr">
        <is>
          <t>Domain portfolio (2025)</t>
        </is>
      </c>
      <c r="F87" t="inlineStr">
        <is>
          <t>Trademarks and other rights</t>
        </is>
      </c>
      <c r="G87" t="n">
        <v>120</v>
      </c>
      <c r="H87" t="inlineStr">
        <is>
          <t>CC-300</t>
        </is>
      </c>
      <c r="I87" t="inlineStr">
        <is>
          <t>movements_2025_04.csv</t>
        </is>
      </c>
    </row>
    <row r="88">
      <c r="A88" t="inlineStr">
        <is>
          <t>IA-00261</t>
        </is>
      </c>
      <c r="B88" t="inlineStr">
        <is>
          <t>TRANSFER</t>
        </is>
      </c>
      <c r="C88" s="5" t="n">
        <v>45771</v>
      </c>
      <c r="H88" t="inlineStr">
        <is>
          <t>CC-600</t>
        </is>
      </c>
      <c r="I88" t="inlineStr">
        <is>
          <t>movements_2025_04.csv</t>
        </is>
      </c>
    </row>
    <row r="89">
      <c r="A89" t="inlineStr">
        <is>
          <t>IA-00326</t>
        </is>
      </c>
      <c r="B89" t="inlineStr">
        <is>
          <t>DISPOSAL</t>
        </is>
      </c>
      <c r="C89" s="5" t="n">
        <v>45785</v>
      </c>
      <c r="E89" t="inlineStr">
        <is>
          <t>Collaboration suite licence (2025)</t>
        </is>
      </c>
      <c r="I89" t="inlineStr">
        <is>
          <t>movements_2025_05.csv</t>
        </is>
      </c>
    </row>
    <row r="90">
      <c r="A90" t="inlineStr">
        <is>
          <t>IA-00348</t>
        </is>
      </c>
      <c r="B90" t="inlineStr">
        <is>
          <t>DISPOSAL</t>
        </is>
      </c>
      <c r="C90" s="5" t="n">
        <v>45785</v>
      </c>
      <c r="E90" t="inlineStr">
        <is>
          <t>ERP licence (2024)</t>
        </is>
      </c>
      <c r="I90" t="inlineStr">
        <is>
          <t>movements_2025_05.csv</t>
        </is>
      </c>
    </row>
    <row r="91">
      <c r="A91" t="inlineStr">
        <is>
          <t>IA-00390</t>
        </is>
      </c>
      <c r="B91" t="inlineStr">
        <is>
          <t>ADDITION</t>
        </is>
      </c>
      <c r="C91" s="5" t="n">
        <v>45785</v>
      </c>
      <c r="D91" t="n">
        <v>12993.66</v>
      </c>
      <c r="E91" t="inlineStr">
        <is>
          <t>Security software licence (2025)</t>
        </is>
      </c>
      <c r="F91" t="inlineStr">
        <is>
          <t>Software licences</t>
        </is>
      </c>
      <c r="G91" t="n">
        <v>48</v>
      </c>
      <c r="H91" t="inlineStr">
        <is>
          <t>CC-400</t>
        </is>
      </c>
      <c r="I91" t="inlineStr">
        <is>
          <t>movements_2025_05.csv</t>
        </is>
      </c>
    </row>
    <row r="92">
      <c r="A92" t="inlineStr">
        <is>
          <t>IA-00392</t>
        </is>
      </c>
      <c r="B92" t="inlineStr">
        <is>
          <t>DISPOSAL</t>
        </is>
      </c>
      <c r="C92" s="5" t="n">
        <v>45785</v>
      </c>
      <c r="E92" t="inlineStr">
        <is>
          <t>Integration layer (2024)</t>
        </is>
      </c>
      <c r="I92" t="inlineStr">
        <is>
          <t>movements_2025_05.csv</t>
        </is>
      </c>
    </row>
    <row r="93">
      <c r="A93" t="inlineStr">
        <is>
          <t>IA-00328</t>
        </is>
      </c>
      <c r="B93" t="inlineStr">
        <is>
          <t>ADDITION</t>
        </is>
      </c>
      <c r="C93" s="5" t="n">
        <v>45790</v>
      </c>
      <c r="D93" t="n">
        <v>26514.56</v>
      </c>
      <c r="E93" t="inlineStr">
        <is>
          <t>Mobile app release (2025)</t>
        </is>
      </c>
      <c r="F93" t="inlineStr">
        <is>
          <t>Capitalised development</t>
        </is>
      </c>
      <c r="G93" t="n">
        <v>48</v>
      </c>
      <c r="H93" t="inlineStr">
        <is>
          <t>CC-500</t>
        </is>
      </c>
      <c r="I93" t="inlineStr">
        <is>
          <t>movements_2025_05.csv</t>
        </is>
      </c>
    </row>
    <row r="94">
      <c r="A94" t="inlineStr">
        <is>
          <t>IA-00324</t>
        </is>
      </c>
      <c r="B94" t="inlineStr">
        <is>
          <t>ADDITION</t>
        </is>
      </c>
      <c r="C94" s="5" t="n">
        <v>45793</v>
      </c>
      <c r="D94" t="n">
        <v>184168.09</v>
      </c>
      <c r="E94" t="inlineStr">
        <is>
          <t>Monitoring tool licence (2025)</t>
        </is>
      </c>
      <c r="F94" t="inlineStr">
        <is>
          <t>Software licences</t>
        </is>
      </c>
      <c r="G94" t="n">
        <v>36</v>
      </c>
      <c r="H94" t="inlineStr">
        <is>
          <t>CC-600</t>
        </is>
      </c>
      <c r="I94" t="inlineStr">
        <is>
          <t>movements_2025_05.csv</t>
        </is>
      </c>
    </row>
    <row r="95">
      <c r="A95" t="inlineStr">
        <is>
          <t>IA-00395</t>
        </is>
      </c>
      <c r="B95" t="inlineStr">
        <is>
          <t>ADDITION</t>
        </is>
      </c>
      <c r="C95" s="5" t="n">
        <v>45813</v>
      </c>
      <c r="D95" t="n">
        <v>875694.3199999999</v>
      </c>
      <c r="E95" t="inlineStr">
        <is>
          <t>Order management feature (2025)</t>
        </is>
      </c>
      <c r="F95" t="inlineStr">
        <is>
          <t>Capitalised development</t>
        </is>
      </c>
      <c r="G95" t="n">
        <v>48</v>
      </c>
      <c r="H95" t="inlineStr">
        <is>
          <t>CC-300</t>
        </is>
      </c>
      <c r="I95" t="inlineStr">
        <is>
          <t>movements_2025_06.csv</t>
        </is>
      </c>
    </row>
    <row r="96">
      <c r="A96" t="inlineStr">
        <is>
          <t>IA-00391</t>
        </is>
      </c>
      <c r="B96" t="inlineStr">
        <is>
          <t>ADDITION</t>
        </is>
      </c>
      <c r="C96" s="5" t="n">
        <v>45815</v>
      </c>
      <c r="D96" t="n">
        <v>32212.52</v>
      </c>
      <c r="E96" t="inlineStr">
        <is>
          <t>Security software licence (2025)</t>
        </is>
      </c>
      <c r="F96" t="inlineStr">
        <is>
          <t>Software licences</t>
        </is>
      </c>
      <c r="G96" t="n">
        <v>36</v>
      </c>
      <c r="H96" t="inlineStr">
        <is>
          <t>CC-300</t>
        </is>
      </c>
      <c r="I96" t="inlineStr">
        <is>
          <t>movements_2025_06.csv</t>
        </is>
      </c>
    </row>
    <row r="97">
      <c r="A97" t="inlineStr">
        <is>
          <t>IA-00049</t>
        </is>
      </c>
      <c r="B97" t="inlineStr">
        <is>
          <t>TRANSFER</t>
        </is>
      </c>
      <c r="C97" s="5" t="n">
        <v>45816</v>
      </c>
      <c r="H97" t="inlineStr">
        <is>
          <t>CC-100</t>
        </is>
      </c>
      <c r="I97" t="inlineStr">
        <is>
          <t>movements_2025_06.csv</t>
        </is>
      </c>
    </row>
    <row r="98">
      <c r="A98" t="inlineStr">
        <is>
          <t>IA-00105</t>
        </is>
      </c>
      <c r="B98" t="inlineStr">
        <is>
          <t>TRANSFER</t>
        </is>
      </c>
      <c r="C98" s="5" t="n">
        <v>45819</v>
      </c>
      <c r="H98" t="inlineStr">
        <is>
          <t>CC-400</t>
        </is>
      </c>
      <c r="I98" t="inlineStr">
        <is>
          <t>movements_2025_06.csv</t>
        </is>
      </c>
    </row>
    <row r="99">
      <c r="A99" t="inlineStr">
        <is>
          <t>IA-00353</t>
        </is>
      </c>
      <c r="B99" t="inlineStr">
        <is>
          <t>ADDITION</t>
        </is>
      </c>
      <c r="C99" s="5" t="n">
        <v>45821</v>
      </c>
      <c r="D99" t="n">
        <v>195888.93</v>
      </c>
      <c r="E99" t="inlineStr">
        <is>
          <t>Reporting platform (2025)</t>
        </is>
      </c>
      <c r="F99" t="inlineStr">
        <is>
          <t>Capitalised development</t>
        </is>
      </c>
      <c r="G99" t="n">
        <v>60</v>
      </c>
      <c r="H99" t="inlineStr">
        <is>
          <t>CC-600</t>
        </is>
      </c>
      <c r="I99" t="inlineStr">
        <is>
          <t>movements_2025_06.csv</t>
        </is>
      </c>
    </row>
    <row r="100">
      <c r="A100" t="inlineStr">
        <is>
          <t>IA-00380</t>
        </is>
      </c>
      <c r="B100" t="inlineStr">
        <is>
          <t>ADDITION</t>
        </is>
      </c>
      <c r="C100" s="5" t="n">
        <v>45850</v>
      </c>
      <c r="D100" t="n">
        <v>59139.48</v>
      </c>
      <c r="E100" t="inlineStr">
        <is>
          <t>Billing engine module (2025)</t>
        </is>
      </c>
      <c r="F100" t="inlineStr">
        <is>
          <t>Capitalised development</t>
        </is>
      </c>
      <c r="G100" t="n">
        <v>60</v>
      </c>
      <c r="H100" t="inlineStr">
        <is>
          <t>CC-500</t>
        </is>
      </c>
      <c r="I100" t="inlineStr">
        <is>
          <t>movements_2025_07.csv</t>
        </is>
      </c>
    </row>
    <row r="101">
      <c r="A101" t="inlineStr">
        <is>
          <t>IA-00295</t>
        </is>
      </c>
      <c r="B101" t="inlineStr">
        <is>
          <t>DISPOSAL</t>
        </is>
      </c>
      <c r="C101" s="5" t="n">
        <v>45865</v>
      </c>
      <c r="E101" t="inlineStr">
        <is>
          <t>Content distribution right (2018)</t>
        </is>
      </c>
      <c r="I101" t="inlineStr">
        <is>
          <t>movements_2025_07.csv</t>
        </is>
      </c>
    </row>
    <row r="102">
      <c r="A102" t="inlineStr">
        <is>
          <t>IA-00351</t>
        </is>
      </c>
      <c r="B102" t="inlineStr">
        <is>
          <t>ADDITION</t>
        </is>
      </c>
      <c r="C102" s="5" t="n">
        <v>45878</v>
      </c>
      <c r="D102" t="n">
        <v>216957.72</v>
      </c>
      <c r="E102" t="inlineStr">
        <is>
          <t>ERP licence (2025)</t>
        </is>
      </c>
      <c r="F102" t="inlineStr">
        <is>
          <t>Software licences</t>
        </is>
      </c>
      <c r="G102" t="n">
        <v>48</v>
      </c>
      <c r="H102" t="inlineStr">
        <is>
          <t>CC-100</t>
        </is>
      </c>
      <c r="I102" t="inlineStr">
        <is>
          <t>movements_2025_08.csv</t>
        </is>
      </c>
    </row>
    <row r="103">
      <c r="A103" t="inlineStr">
        <is>
          <t>IA-00394</t>
        </is>
      </c>
      <c r="B103" t="inlineStr">
        <is>
          <t>ADDITION</t>
        </is>
      </c>
      <c r="C103" s="5" t="n">
        <v>45881</v>
      </c>
      <c r="D103" t="n">
        <v>263962.05</v>
      </c>
      <c r="E103" t="inlineStr">
        <is>
          <t>Monitoring tool licence (2025)</t>
        </is>
      </c>
      <c r="F103" t="inlineStr">
        <is>
          <t>Software licences</t>
        </is>
      </c>
      <c r="G103" t="n">
        <v>48</v>
      </c>
      <c r="H103" t="inlineStr">
        <is>
          <t>CC-200</t>
        </is>
      </c>
      <c r="I103" t="inlineStr">
        <is>
          <t>movements_2025_08.csv</t>
        </is>
      </c>
    </row>
    <row r="104">
      <c r="A104" t="inlineStr">
        <is>
          <t>IA-00024</t>
        </is>
      </c>
      <c r="B104" t="inlineStr">
        <is>
          <t>TRANSFER</t>
        </is>
      </c>
      <c r="C104" s="5" t="n">
        <v>45888</v>
      </c>
      <c r="H104" t="inlineStr">
        <is>
          <t>CC-200</t>
        </is>
      </c>
      <c r="I104" t="inlineStr">
        <is>
          <t>movements_2025_08.csv</t>
        </is>
      </c>
    </row>
    <row r="105">
      <c r="A105" t="inlineStr">
        <is>
          <t>IA-00220</t>
        </is>
      </c>
      <c r="B105" t="inlineStr">
        <is>
          <t>DISPOSAL</t>
        </is>
      </c>
      <c r="C105" s="5" t="n">
        <v>45894</v>
      </c>
      <c r="E105" t="inlineStr">
        <is>
          <t>Collaboration suite licence (2016)</t>
        </is>
      </c>
      <c r="I105" t="inlineStr">
        <is>
          <t>movements_2025_08.csv</t>
        </is>
      </c>
    </row>
    <row r="106">
      <c r="A106" t="inlineStr">
        <is>
          <t>IA-00359</t>
        </is>
      </c>
      <c r="B106" t="inlineStr">
        <is>
          <t>ADDITION</t>
        </is>
      </c>
      <c r="C106" s="5" t="n">
        <v>45894</v>
      </c>
      <c r="D106" t="n">
        <v>251044.64</v>
      </c>
      <c r="E106" t="inlineStr">
        <is>
          <t>Analytics suite licence (2025)</t>
        </is>
      </c>
      <c r="F106" t="inlineStr">
        <is>
          <t>Software licences</t>
        </is>
      </c>
      <c r="G106" t="n">
        <v>48</v>
      </c>
      <c r="H106" t="inlineStr">
        <is>
          <t>CC-200</t>
        </is>
      </c>
      <c r="I106" t="inlineStr">
        <is>
          <t>movements_2025_08.csv</t>
        </is>
      </c>
    </row>
    <row r="107">
      <c r="A107" t="inlineStr">
        <is>
          <t>IA-00353</t>
        </is>
      </c>
      <c r="B107" t="inlineStr">
        <is>
          <t>DISPOSAL</t>
        </is>
      </c>
      <c r="C107" s="5" t="n">
        <v>45896</v>
      </c>
      <c r="E107" t="inlineStr">
        <is>
          <t>Reporting platform (2025)</t>
        </is>
      </c>
      <c r="I107" t="inlineStr">
        <is>
          <t>movements_2025_08.csv</t>
        </is>
      </c>
    </row>
    <row r="108">
      <c r="A108" t="inlineStr">
        <is>
          <t>IA-00330</t>
        </is>
      </c>
      <c r="B108" t="inlineStr">
        <is>
          <t>ADDITION</t>
        </is>
      </c>
      <c r="C108" s="5" t="n">
        <v>45898</v>
      </c>
      <c r="D108" t="n">
        <v>45920.29</v>
      </c>
      <c r="E108" t="inlineStr">
        <is>
          <t>Monitoring tool licence (2025)</t>
        </is>
      </c>
      <c r="F108" t="inlineStr">
        <is>
          <t>Software licences</t>
        </is>
      </c>
      <c r="G108" t="n">
        <v>60</v>
      </c>
      <c r="H108" t="inlineStr">
        <is>
          <t>CC-100</t>
        </is>
      </c>
      <c r="I108" t="inlineStr">
        <is>
          <t>movements_2025_08.csv</t>
        </is>
      </c>
    </row>
    <row r="109">
      <c r="A109" t="inlineStr">
        <is>
          <t>IA-00302</t>
        </is>
      </c>
      <c r="B109" t="inlineStr">
        <is>
          <t>DISPOSAL</t>
        </is>
      </c>
      <c r="C109" s="5" t="n">
        <v>45904</v>
      </c>
      <c r="E109" t="inlineStr">
        <is>
          <t>Collaboration suite licence (2020)</t>
        </is>
      </c>
      <c r="I109" t="inlineStr">
        <is>
          <t>movements_2025_09.csv</t>
        </is>
      </c>
    </row>
    <row r="110">
      <c r="A110" t="inlineStr">
        <is>
          <t>IA-00371</t>
        </is>
      </c>
      <c r="B110" t="inlineStr">
        <is>
          <t>ADDITION</t>
        </is>
      </c>
      <c r="C110" s="5" t="n">
        <v>45910</v>
      </c>
      <c r="D110" t="n">
        <v>40930.2</v>
      </c>
      <c r="E110" t="inlineStr">
        <is>
          <t>Database licence (2025)</t>
        </is>
      </c>
      <c r="F110" t="inlineStr">
        <is>
          <t>Software licences</t>
        </is>
      </c>
      <c r="G110" t="n">
        <v>36</v>
      </c>
      <c r="H110" t="inlineStr">
        <is>
          <t>CC-600</t>
        </is>
      </c>
      <c r="I110" t="inlineStr">
        <is>
          <t>movements_2025_09.csv</t>
        </is>
      </c>
    </row>
    <row r="111">
      <c r="A111" t="inlineStr">
        <is>
          <t>IA-00364</t>
        </is>
      </c>
      <c r="B111" t="inlineStr">
        <is>
          <t>ADDITION</t>
        </is>
      </c>
      <c r="C111" s="5" t="n">
        <v>45912</v>
      </c>
      <c r="D111" t="n">
        <v>120815.07</v>
      </c>
      <c r="E111" t="inlineStr">
        <is>
          <t>Billing engine module (2025)</t>
        </is>
      </c>
      <c r="F111" t="inlineStr">
        <is>
          <t>Capitalised development</t>
        </is>
      </c>
      <c r="G111" t="n">
        <v>48</v>
      </c>
      <c r="H111" t="inlineStr">
        <is>
          <t>CC-500</t>
        </is>
      </c>
      <c r="I111" t="inlineStr">
        <is>
          <t>movements_2025_09.csv</t>
        </is>
      </c>
    </row>
    <row r="112">
      <c r="A112" t="inlineStr">
        <is>
          <t>IA-00339</t>
        </is>
      </c>
      <c r="B112" t="inlineStr">
        <is>
          <t>ADDITION</t>
        </is>
      </c>
      <c r="C112" s="5" t="n">
        <v>45913</v>
      </c>
      <c r="D112" t="n">
        <v>2488569.96</v>
      </c>
      <c r="E112" t="inlineStr">
        <is>
          <t>Content distribution right (2025)</t>
        </is>
      </c>
      <c r="F112" t="inlineStr">
        <is>
          <t>Usage rights</t>
        </is>
      </c>
      <c r="G112" t="n">
        <v>120</v>
      </c>
      <c r="H112" t="inlineStr">
        <is>
          <t>CC-200</t>
        </is>
      </c>
      <c r="I112" t="inlineStr">
        <is>
          <t>movements_2025_09.csv</t>
        </is>
      </c>
    </row>
    <row r="113">
      <c r="A113" t="inlineStr">
        <is>
          <t>IA-00362</t>
        </is>
      </c>
      <c r="B113" t="inlineStr">
        <is>
          <t>ADDITION</t>
        </is>
      </c>
      <c r="C113" s="5" t="n">
        <v>45913</v>
      </c>
      <c r="D113" t="n">
        <v>62247.14</v>
      </c>
      <c r="E113" t="inlineStr">
        <is>
          <t>Analytics suite licence (2025)</t>
        </is>
      </c>
      <c r="F113" t="inlineStr">
        <is>
          <t>Software licences</t>
        </is>
      </c>
      <c r="G113" t="n">
        <v>48</v>
      </c>
      <c r="H113" t="inlineStr">
        <is>
          <t>CC-600</t>
        </is>
      </c>
      <c r="I113" t="inlineStr">
        <is>
          <t>movements_2025_09.csv</t>
        </is>
      </c>
    </row>
    <row r="114">
      <c r="A114" t="inlineStr">
        <is>
          <t>IA-00367</t>
        </is>
      </c>
      <c r="B114" t="inlineStr">
        <is>
          <t>ADDITION</t>
        </is>
      </c>
      <c r="C114" s="5" t="n">
        <v>45920</v>
      </c>
      <c r="D114" t="n">
        <v>21703.43</v>
      </c>
      <c r="E114" t="inlineStr">
        <is>
          <t>CRM licence (2025)</t>
        </is>
      </c>
      <c r="F114" t="inlineStr">
        <is>
          <t>Software licences</t>
        </is>
      </c>
      <c r="G114" t="n">
        <v>60</v>
      </c>
      <c r="H114" t="inlineStr">
        <is>
          <t>CC-600</t>
        </is>
      </c>
      <c r="I114" t="inlineStr">
        <is>
          <t>movements_2025_09.csv</t>
        </is>
      </c>
    </row>
    <row r="115">
      <c r="A115" t="inlineStr">
        <is>
          <t>IA-00387</t>
        </is>
      </c>
      <c r="B115" t="inlineStr">
        <is>
          <t>ADDITION</t>
        </is>
      </c>
      <c r="C115" s="5" t="n">
        <v>45920</v>
      </c>
      <c r="D115" t="n">
        <v>110175.85</v>
      </c>
      <c r="E115" t="inlineStr">
        <is>
          <t>Billing engine module (2025)</t>
        </is>
      </c>
      <c r="F115" t="inlineStr">
        <is>
          <t>Capitalised development</t>
        </is>
      </c>
      <c r="G115" t="n">
        <v>48</v>
      </c>
      <c r="H115" t="inlineStr">
        <is>
          <t>CC-200</t>
        </is>
      </c>
      <c r="I115" t="inlineStr">
        <is>
          <t>movements_2025_09.csv</t>
        </is>
      </c>
    </row>
    <row r="116">
      <c r="A116" t="inlineStr">
        <is>
          <t>IA-00347</t>
        </is>
      </c>
      <c r="B116" t="inlineStr">
        <is>
          <t>DISPOSAL</t>
        </is>
      </c>
      <c r="C116" s="5" t="n">
        <v>45925</v>
      </c>
      <c r="E116" t="inlineStr">
        <is>
          <t>Collaboration suite licence (2024)</t>
        </is>
      </c>
      <c r="I116" t="inlineStr">
        <is>
          <t>movements_2025_09.csv</t>
        </is>
      </c>
    </row>
    <row r="117">
      <c r="A117" t="inlineStr">
        <is>
          <t>IA-00309</t>
        </is>
      </c>
      <c r="B117" t="inlineStr">
        <is>
          <t>TRANSFER</t>
        </is>
      </c>
      <c r="C117" s="5" t="n">
        <v>45929</v>
      </c>
      <c r="H117" t="inlineStr">
        <is>
          <t>CC-400</t>
        </is>
      </c>
      <c r="I117" t="inlineStr">
        <is>
          <t>movements_2025_09.csv</t>
        </is>
      </c>
    </row>
    <row r="118">
      <c r="A118" t="inlineStr">
        <is>
          <t>IA-00027</t>
        </is>
      </c>
      <c r="B118" t="inlineStr">
        <is>
          <t>DISPOSAL</t>
        </is>
      </c>
      <c r="C118" s="5" t="n">
        <v>45934</v>
      </c>
      <c r="E118" t="inlineStr">
        <is>
          <t>Billing engine module (2019)</t>
        </is>
      </c>
      <c r="I118" t="inlineStr">
        <is>
          <t>movements_2025_10.csv</t>
        </is>
      </c>
    </row>
    <row r="119">
      <c r="A119" t="inlineStr">
        <is>
          <t>IA-00321</t>
        </is>
      </c>
      <c r="B119" t="inlineStr">
        <is>
          <t>ADDITION</t>
        </is>
      </c>
      <c r="C119" s="5" t="n">
        <v>45936</v>
      </c>
      <c r="D119" t="n">
        <v>227275.44</v>
      </c>
      <c r="E119" t="inlineStr">
        <is>
          <t>Order management feature (2025)</t>
        </is>
      </c>
      <c r="F119" t="inlineStr">
        <is>
          <t>Capitalised development</t>
        </is>
      </c>
      <c r="G119" t="n">
        <v>60</v>
      </c>
      <c r="H119" t="inlineStr">
        <is>
          <t>CC-400</t>
        </is>
      </c>
      <c r="I119" t="inlineStr">
        <is>
          <t>movements_2025_10.csv</t>
        </is>
      </c>
    </row>
    <row r="120">
      <c r="A120" t="inlineStr">
        <is>
          <t>IA-00038</t>
        </is>
      </c>
      <c r="B120" t="inlineStr">
        <is>
          <t>DISPOSAL</t>
        </is>
      </c>
      <c r="C120" s="5" t="n">
        <v>45945</v>
      </c>
      <c r="E120" t="inlineStr">
        <is>
          <t>Content distribution right (2018)</t>
        </is>
      </c>
      <c r="I120" t="inlineStr">
        <is>
          <t>movements_2025_10.csv</t>
        </is>
      </c>
    </row>
    <row r="121">
      <c r="A121" t="inlineStr">
        <is>
          <t>IA-00122</t>
        </is>
      </c>
      <c r="B121" t="inlineStr">
        <is>
          <t>TRANSFER</t>
        </is>
      </c>
      <c r="C121" s="5" t="n">
        <v>45948</v>
      </c>
      <c r="H121" t="inlineStr">
        <is>
          <t>CC-200</t>
        </is>
      </c>
      <c r="I121" t="inlineStr">
        <is>
          <t>movements_2025_10.csv</t>
        </is>
      </c>
    </row>
    <row r="122">
      <c r="A122" t="inlineStr">
        <is>
          <t>IA-00371</t>
        </is>
      </c>
      <c r="B122" t="inlineStr">
        <is>
          <t>DISPOSAL</t>
        </is>
      </c>
      <c r="C122" s="5" t="n">
        <v>45949</v>
      </c>
      <c r="E122" t="inlineStr">
        <is>
          <t>Database licence (2025)</t>
        </is>
      </c>
      <c r="I122" t="inlineStr">
        <is>
          <t>movements_2025_10.csv</t>
        </is>
      </c>
    </row>
    <row r="123">
      <c r="A123" t="inlineStr">
        <is>
          <t>IA-00360</t>
        </is>
      </c>
      <c r="B123" t="inlineStr">
        <is>
          <t>ADDITION</t>
        </is>
      </c>
      <c r="C123" s="5" t="n">
        <v>45968</v>
      </c>
      <c r="D123" t="n">
        <v>282301.62</v>
      </c>
      <c r="E123" t="inlineStr">
        <is>
          <t>Collaboration suite licence (2025)</t>
        </is>
      </c>
      <c r="F123" t="inlineStr">
        <is>
          <t>Software licences</t>
        </is>
      </c>
      <c r="G123" t="n">
        <v>36</v>
      </c>
      <c r="H123" t="inlineStr">
        <is>
          <t>CC-400</t>
        </is>
      </c>
      <c r="I123" t="inlineStr">
        <is>
          <t>movements_2025_11.csv</t>
        </is>
      </c>
    </row>
    <row r="124">
      <c r="A124" t="inlineStr">
        <is>
          <t>IA-00368</t>
        </is>
      </c>
      <c r="B124" t="inlineStr">
        <is>
          <t>ADDITION</t>
        </is>
      </c>
      <c r="C124" s="5" t="n">
        <v>45969</v>
      </c>
      <c r="D124" t="n">
        <v>53380.62</v>
      </c>
      <c r="E124" t="inlineStr">
        <is>
          <t>Self-care portal release (2025)</t>
        </is>
      </c>
      <c r="F124" t="inlineStr">
        <is>
          <t>Capitalised development</t>
        </is>
      </c>
      <c r="G124" t="n">
        <v>60</v>
      </c>
      <c r="H124" t="inlineStr">
        <is>
          <t>CC-100</t>
        </is>
      </c>
      <c r="I124" t="inlineStr">
        <is>
          <t>movements_2025_11.csv</t>
        </is>
      </c>
    </row>
    <row r="125">
      <c r="A125" t="inlineStr">
        <is>
          <t>IA-00397</t>
        </is>
      </c>
      <c r="B125" t="inlineStr">
        <is>
          <t>ADDITION</t>
        </is>
      </c>
      <c r="C125" s="5" t="n">
        <v>45970</v>
      </c>
      <c r="D125" t="n">
        <v>13057.66</v>
      </c>
      <c r="E125" t="inlineStr">
        <is>
          <t>CRM licence (2025)</t>
        </is>
      </c>
      <c r="F125" t="inlineStr">
        <is>
          <t>Software licences</t>
        </is>
      </c>
      <c r="G125" t="n">
        <v>60</v>
      </c>
      <c r="H125" t="inlineStr">
        <is>
          <t>CC-100</t>
        </is>
      </c>
      <c r="I125" t="inlineStr">
        <is>
          <t>movements_2025_11.csv</t>
        </is>
      </c>
    </row>
    <row r="126">
      <c r="A126" t="inlineStr">
        <is>
          <t>IA-00381</t>
        </is>
      </c>
      <c r="B126" t="inlineStr">
        <is>
          <t>ADDITION</t>
        </is>
      </c>
      <c r="C126" s="5" t="n">
        <v>45971</v>
      </c>
      <c r="D126" t="n">
        <v>837219.67</v>
      </c>
      <c r="E126" t="inlineStr">
        <is>
          <t>Integration layer (2025)</t>
        </is>
      </c>
      <c r="F126" t="inlineStr">
        <is>
          <t>Capitalised development</t>
        </is>
      </c>
      <c r="G126" t="n">
        <v>48</v>
      </c>
      <c r="H126" t="inlineStr">
        <is>
          <t>CC-100</t>
        </is>
      </c>
      <c r="I126" t="inlineStr">
        <is>
          <t>movements_2025_11.csv</t>
        </is>
      </c>
    </row>
    <row r="127">
      <c r="A127" t="inlineStr">
        <is>
          <t>IA-00265</t>
        </is>
      </c>
      <c r="B127" t="inlineStr">
        <is>
          <t>TRANSFER</t>
        </is>
      </c>
      <c r="C127" s="5" t="n">
        <v>45976</v>
      </c>
      <c r="H127" t="inlineStr">
        <is>
          <t>CC-500</t>
        </is>
      </c>
      <c r="I127" t="inlineStr">
        <is>
          <t>movements_2025_11.csv</t>
        </is>
      </c>
    </row>
    <row r="128">
      <c r="A128" t="inlineStr">
        <is>
          <t>IA-00369</t>
        </is>
      </c>
      <c r="B128" t="inlineStr">
        <is>
          <t>DISPOSAL</t>
        </is>
      </c>
      <c r="C128" s="5" t="n">
        <v>45981</v>
      </c>
      <c r="E128" t="inlineStr">
        <is>
          <t>Patent licence (2024)</t>
        </is>
      </c>
      <c r="I128" t="inlineStr">
        <is>
          <t>movements_2025_11.csv</t>
        </is>
      </c>
    </row>
    <row r="129">
      <c r="A129" t="inlineStr">
        <is>
          <t>IA-00234</t>
        </is>
      </c>
      <c r="B129" t="inlineStr">
        <is>
          <t>TRANSFER</t>
        </is>
      </c>
      <c r="C129" s="5" t="n">
        <v>45984</v>
      </c>
      <c r="H129" t="inlineStr">
        <is>
          <t>CC-200</t>
        </is>
      </c>
      <c r="I129" t="inlineStr">
        <is>
          <t>movements_2025_11.csv</t>
        </is>
      </c>
    </row>
    <row r="130">
      <c r="A130" t="inlineStr">
        <is>
          <t>IA-00178</t>
        </is>
      </c>
      <c r="B130" t="inlineStr">
        <is>
          <t>TRANSFER</t>
        </is>
      </c>
      <c r="C130" s="5" t="n">
        <v>45986</v>
      </c>
      <c r="H130" t="inlineStr">
        <is>
          <t>CC-100</t>
        </is>
      </c>
      <c r="I130" t="inlineStr">
        <is>
          <t>movements_2025_11.csv</t>
        </is>
      </c>
    </row>
    <row r="131">
      <c r="A131" t="inlineStr">
        <is>
          <t>IA-00297</t>
        </is>
      </c>
      <c r="B131" t="inlineStr">
        <is>
          <t>DISPOSAL</t>
        </is>
      </c>
      <c r="C131" s="5" t="n">
        <v>45999</v>
      </c>
      <c r="E131" t="inlineStr">
        <is>
          <t>Integration layer (2023)</t>
        </is>
      </c>
      <c r="I131" t="inlineStr">
        <is>
          <t>movements_2025_12.csv</t>
        </is>
      </c>
    </row>
    <row r="132">
      <c r="A132" t="inlineStr">
        <is>
          <t>IA-00283</t>
        </is>
      </c>
      <c r="B132" t="inlineStr">
        <is>
          <t>DISPOSAL</t>
        </is>
      </c>
      <c r="C132" s="5" t="n">
        <v>46000</v>
      </c>
      <c r="E132" t="inlineStr">
        <is>
          <t>Integration layer (2023)</t>
        </is>
      </c>
      <c r="I132" t="inlineStr">
        <is>
          <t>movements_2025_12.csv</t>
        </is>
      </c>
    </row>
    <row r="133">
      <c r="A133" t="inlineStr">
        <is>
          <t>IA-00365</t>
        </is>
      </c>
      <c r="B133" t="inlineStr">
        <is>
          <t>ADDITION</t>
        </is>
      </c>
      <c r="C133" s="5" t="n">
        <v>46000</v>
      </c>
      <c r="D133" t="n">
        <v>106119.12</v>
      </c>
      <c r="E133" t="inlineStr">
        <is>
          <t>ERP licence (2025)</t>
        </is>
      </c>
      <c r="F133" t="inlineStr">
        <is>
          <t>Software licences</t>
        </is>
      </c>
      <c r="G133" t="n">
        <v>60</v>
      </c>
      <c r="H133" t="inlineStr">
        <is>
          <t>CC-300</t>
        </is>
      </c>
      <c r="I133" t="inlineStr">
        <is>
          <t>movements_2025_12.csv</t>
        </is>
      </c>
    </row>
    <row r="134">
      <c r="A134" t="inlineStr">
        <is>
          <t>IA-00361</t>
        </is>
      </c>
      <c r="B134" t="inlineStr">
        <is>
          <t>ADDITION</t>
        </is>
      </c>
      <c r="C134" s="5" t="n">
        <v>46001</v>
      </c>
      <c r="D134" t="n">
        <v>1730097.99</v>
      </c>
      <c r="E134" t="inlineStr">
        <is>
          <t>Network capacity right (2025)</t>
        </is>
      </c>
      <c r="F134" t="inlineStr">
        <is>
          <t>Usage rights</t>
        </is>
      </c>
      <c r="G134" t="n">
        <v>60</v>
      </c>
      <c r="H134" t="inlineStr">
        <is>
          <t>CC-600</t>
        </is>
      </c>
      <c r="I134" t="inlineStr">
        <is>
          <t>movements_2025_12.csv</t>
        </is>
      </c>
    </row>
    <row r="135">
      <c r="A135" t="inlineStr">
        <is>
          <t>IA-00343</t>
        </is>
      </c>
      <c r="B135" t="inlineStr">
        <is>
          <t>ADDITION</t>
        </is>
      </c>
      <c r="C135" s="5" t="n">
        <v>46012</v>
      </c>
      <c r="D135" t="n">
        <v>327362.26</v>
      </c>
      <c r="E135" t="inlineStr">
        <is>
          <t>Collaboration suite licence (2025)</t>
        </is>
      </c>
      <c r="F135" t="inlineStr">
        <is>
          <t>Software licences</t>
        </is>
      </c>
      <c r="G135" t="n">
        <v>48</v>
      </c>
      <c r="H135" t="inlineStr">
        <is>
          <t>CC-600</t>
        </is>
      </c>
      <c r="I135" t="inlineStr">
        <is>
          <t>movements_2025_12.csv</t>
        </is>
      </c>
    </row>
    <row r="136">
      <c r="A136" t="inlineStr">
        <is>
          <t>IA-00063</t>
        </is>
      </c>
      <c r="B136" t="inlineStr">
        <is>
          <t>TRANSFER</t>
        </is>
      </c>
      <c r="C136" s="5" t="n">
        <v>46022</v>
      </c>
      <c r="H136" t="inlineStr">
        <is>
          <t>CC-100</t>
        </is>
      </c>
      <c r="I136" t="inlineStr">
        <is>
          <t>movements_2025_12.csv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7" customWidth="1" min="7" max="7"/>
    <col width="14" customWidth="1" min="8" max="8"/>
    <col width="18" customWidth="1" min="9" max="9"/>
    <col width="17" customWidth="1" min="10" max="10"/>
    <col width="14" customWidth="1" min="11" max="11"/>
    <col width="14" customWidth="1" min="12" max="12"/>
  </cols>
  <sheetData>
    <row r="1">
      <c r="A1" t="inlineStr">
        <is>
          <t>month_start</t>
        </is>
      </c>
      <c r="B1" t="inlineStr">
        <is>
          <t>asset_rows</t>
        </is>
      </c>
      <c r="C1" t="inlineStr">
        <is>
          <t>opening_cost</t>
        </is>
      </c>
      <c r="D1" t="inlineStr">
        <is>
          <t>additions</t>
        </is>
      </c>
      <c r="E1" t="inlineStr">
        <is>
          <t>disposals_cost</t>
        </is>
      </c>
      <c r="F1" t="inlineStr">
        <is>
          <t>closing_cost</t>
        </is>
      </c>
      <c r="G1" t="inlineStr">
        <is>
          <t>opening_acc_dep</t>
        </is>
      </c>
      <c r="H1" t="inlineStr">
        <is>
          <t>depreciation</t>
        </is>
      </c>
      <c r="I1" t="inlineStr">
        <is>
          <t>disposal_acc_dep</t>
        </is>
      </c>
      <c r="J1" t="inlineStr">
        <is>
          <t>closing_acc_dep</t>
        </is>
      </c>
      <c r="K1" t="inlineStr">
        <is>
          <t>closing_nbv</t>
        </is>
      </c>
      <c r="L1" t="inlineStr">
        <is>
          <t>disposal_nbv</t>
        </is>
      </c>
    </row>
    <row r="2">
      <c r="A2" s="5" t="n">
        <v>45292</v>
      </c>
      <c r="B2" t="n">
        <v>312</v>
      </c>
      <c r="C2" s="6" t="n">
        <v>55331277.12</v>
      </c>
      <c r="D2" s="6" t="n">
        <v>202663.27</v>
      </c>
      <c r="E2" s="6" t="n">
        <v>0</v>
      </c>
      <c r="F2" s="6" t="n">
        <v>55533940.39</v>
      </c>
      <c r="G2" s="6" t="n">
        <v>35855502.51</v>
      </c>
      <c r="H2" s="6" t="n">
        <v>584437.96</v>
      </c>
      <c r="I2" s="6" t="n">
        <v>0</v>
      </c>
      <c r="J2" s="6" t="n">
        <v>36439940.48</v>
      </c>
      <c r="K2" s="6" t="n">
        <v>19093999.91</v>
      </c>
      <c r="L2" s="6" t="n">
        <v>0</v>
      </c>
    </row>
    <row r="3">
      <c r="A3" s="5" t="n">
        <v>45323</v>
      </c>
      <c r="B3" t="n">
        <v>313</v>
      </c>
      <c r="C3" s="6" t="n">
        <v>55533940.39</v>
      </c>
      <c r="D3" s="6" t="n">
        <v>53923.63</v>
      </c>
      <c r="E3" s="6" t="n">
        <v>0</v>
      </c>
      <c r="F3" s="6" t="n">
        <v>55587864.02</v>
      </c>
      <c r="G3" s="6" t="n">
        <v>36439940.48</v>
      </c>
      <c r="H3" s="6" t="n">
        <v>564123.36</v>
      </c>
      <c r="I3" s="6" t="n">
        <v>0</v>
      </c>
      <c r="J3" s="6" t="n">
        <v>37004063.84</v>
      </c>
      <c r="K3" s="6" t="n">
        <v>18583800.18</v>
      </c>
      <c r="L3" s="6" t="n">
        <v>0</v>
      </c>
    </row>
    <row r="4">
      <c r="A4" s="5" t="n">
        <v>45352</v>
      </c>
      <c r="B4" t="n">
        <v>317</v>
      </c>
      <c r="C4" s="6" t="n">
        <v>55587864.02</v>
      </c>
      <c r="D4" s="6" t="n">
        <v>286410.89</v>
      </c>
      <c r="E4" s="6" t="n">
        <v>0</v>
      </c>
      <c r="F4" s="6" t="n">
        <v>55874274.91</v>
      </c>
      <c r="G4" s="6" t="n">
        <v>37004063.84</v>
      </c>
      <c r="H4" s="6" t="n">
        <v>563304.38</v>
      </c>
      <c r="I4" s="6" t="n">
        <v>0</v>
      </c>
      <c r="J4" s="6" t="n">
        <v>37567368.22</v>
      </c>
      <c r="K4" s="6" t="n">
        <v>18306906.69</v>
      </c>
      <c r="L4" s="6" t="n">
        <v>0</v>
      </c>
    </row>
    <row r="5">
      <c r="A5" s="5" t="n">
        <v>45383</v>
      </c>
      <c r="B5" t="n">
        <v>322</v>
      </c>
      <c r="C5" s="6" t="n">
        <v>55874274.91</v>
      </c>
      <c r="D5" s="6" t="n">
        <v>159613.71</v>
      </c>
      <c r="E5" s="6" t="n">
        <v>535687.89</v>
      </c>
      <c r="F5" s="6" t="n">
        <v>55498200.73</v>
      </c>
      <c r="G5" s="6" t="n">
        <v>37567368.22</v>
      </c>
      <c r="H5" s="6" t="n">
        <v>558348.71</v>
      </c>
      <c r="I5" s="6" t="n">
        <v>535231.9300000001</v>
      </c>
      <c r="J5" s="6" t="n">
        <v>37590485</v>
      </c>
      <c r="K5" s="6" t="n">
        <v>17907715.73</v>
      </c>
      <c r="L5" s="6" t="n">
        <v>455.96</v>
      </c>
    </row>
    <row r="6">
      <c r="A6" s="5" t="n">
        <v>45413</v>
      </c>
      <c r="B6" t="n">
        <v>321</v>
      </c>
      <c r="C6" s="6" t="n">
        <v>55498200.73</v>
      </c>
      <c r="D6" s="6" t="n">
        <v>75122.56</v>
      </c>
      <c r="E6" s="6" t="n">
        <v>0</v>
      </c>
      <c r="F6" s="6" t="n">
        <v>55573323.29</v>
      </c>
      <c r="G6" s="6" t="n">
        <v>37590485</v>
      </c>
      <c r="H6" s="6" t="n">
        <v>546167.37</v>
      </c>
      <c r="I6" s="6" t="n">
        <v>0</v>
      </c>
      <c r="J6" s="6" t="n">
        <v>38136652.37</v>
      </c>
      <c r="K6" s="6" t="n">
        <v>17436670.92</v>
      </c>
      <c r="L6" s="6" t="n">
        <v>0</v>
      </c>
    </row>
    <row r="7">
      <c r="A7" s="5" t="n">
        <v>45444</v>
      </c>
      <c r="B7" t="n">
        <v>325</v>
      </c>
      <c r="C7" s="6" t="n">
        <v>55573323.29</v>
      </c>
      <c r="D7" s="6" t="n">
        <v>2494530.61</v>
      </c>
      <c r="E7" s="6" t="n">
        <v>0</v>
      </c>
      <c r="F7" s="6" t="n">
        <v>58067853.9</v>
      </c>
      <c r="G7" s="6" t="n">
        <v>38136652.37</v>
      </c>
      <c r="H7" s="6" t="n">
        <v>556257</v>
      </c>
      <c r="I7" s="6" t="n">
        <v>0</v>
      </c>
      <c r="J7" s="6" t="n">
        <v>38692909.37</v>
      </c>
      <c r="K7" s="6" t="n">
        <v>19374944.53</v>
      </c>
      <c r="L7" s="6" t="n">
        <v>0</v>
      </c>
    </row>
    <row r="8">
      <c r="A8" s="5" t="n">
        <v>45474</v>
      </c>
      <c r="B8" t="n">
        <v>330</v>
      </c>
      <c r="C8" s="6" t="n">
        <v>58067853.9</v>
      </c>
      <c r="D8" s="6" t="n">
        <v>236686.78</v>
      </c>
      <c r="E8" s="6" t="n">
        <v>298929.03</v>
      </c>
      <c r="F8" s="6" t="n">
        <v>58005611.65</v>
      </c>
      <c r="G8" s="6" t="n">
        <v>38692909.37</v>
      </c>
      <c r="H8" s="6" t="n">
        <v>540704.55</v>
      </c>
      <c r="I8" s="6" t="n">
        <v>156676.33</v>
      </c>
      <c r="J8" s="6" t="n">
        <v>39076937.58</v>
      </c>
      <c r="K8" s="6" t="n">
        <v>18928674.07</v>
      </c>
      <c r="L8" s="6" t="n">
        <v>142252.7</v>
      </c>
    </row>
    <row r="9">
      <c r="A9" s="5" t="n">
        <v>45505</v>
      </c>
      <c r="B9" t="n">
        <v>329</v>
      </c>
      <c r="C9" s="6" t="n">
        <v>58005611.65</v>
      </c>
      <c r="D9" s="6" t="n">
        <v>162908.42</v>
      </c>
      <c r="E9" s="6" t="n">
        <v>226474.69</v>
      </c>
      <c r="F9" s="6" t="n">
        <v>57942045.38</v>
      </c>
      <c r="G9" s="6" t="n">
        <v>39076937.58</v>
      </c>
      <c r="H9" s="6" t="n">
        <v>535801.83</v>
      </c>
      <c r="I9" s="6" t="n">
        <v>86332.31</v>
      </c>
      <c r="J9" s="6" t="n">
        <v>39526407.1</v>
      </c>
      <c r="K9" s="6" t="n">
        <v>18415638.28</v>
      </c>
      <c r="L9" s="6" t="n">
        <v>140142.38</v>
      </c>
    </row>
    <row r="10">
      <c r="A10" s="5" t="n">
        <v>45536</v>
      </c>
      <c r="B10" t="n">
        <v>330</v>
      </c>
      <c r="C10" s="6" t="n">
        <v>57942045.38</v>
      </c>
      <c r="D10" s="6" t="n">
        <v>128676.81</v>
      </c>
      <c r="E10" s="6" t="n">
        <v>28612.18</v>
      </c>
      <c r="F10" s="6" t="n">
        <v>58042110.01</v>
      </c>
      <c r="G10" s="6" t="n">
        <v>39526407.1</v>
      </c>
      <c r="H10" s="6" t="n">
        <v>532665.08</v>
      </c>
      <c r="I10" s="6" t="n">
        <v>28612.18</v>
      </c>
      <c r="J10" s="6" t="n">
        <v>40030460</v>
      </c>
      <c r="K10" s="6" t="n">
        <v>18011650.01</v>
      </c>
      <c r="L10" s="6" t="n">
        <v>0</v>
      </c>
    </row>
    <row r="11">
      <c r="A11" s="5" t="n">
        <v>45566</v>
      </c>
      <c r="B11" t="n">
        <v>331</v>
      </c>
      <c r="C11" s="6" t="n">
        <v>58042110.01</v>
      </c>
      <c r="D11" s="6" t="n">
        <v>459542.09</v>
      </c>
      <c r="E11" s="6" t="n">
        <v>47284.06</v>
      </c>
      <c r="F11" s="6" t="n">
        <v>58454368.04</v>
      </c>
      <c r="G11" s="6" t="n">
        <v>40030460</v>
      </c>
      <c r="H11" s="6" t="n">
        <v>534190.25</v>
      </c>
      <c r="I11" s="6" t="n">
        <v>38148.29</v>
      </c>
      <c r="J11" s="6" t="n">
        <v>40526501.96</v>
      </c>
      <c r="K11" s="6" t="n">
        <v>17927866.08</v>
      </c>
      <c r="L11" s="6" t="n">
        <v>9135.77</v>
      </c>
    </row>
    <row r="12">
      <c r="A12" s="5" t="n">
        <v>45597</v>
      </c>
      <c r="B12" t="n">
        <v>331</v>
      </c>
      <c r="C12" s="6" t="n">
        <v>58454368.04</v>
      </c>
      <c r="D12" s="6" t="n">
        <v>192670.64</v>
      </c>
      <c r="E12" s="6" t="n">
        <v>530995.41</v>
      </c>
      <c r="F12" s="6" t="n">
        <v>58116043.27</v>
      </c>
      <c r="G12" s="6" t="n">
        <v>40526501.96</v>
      </c>
      <c r="H12" s="6" t="n">
        <v>531182.86</v>
      </c>
      <c r="I12" s="6" t="n">
        <v>480343.38</v>
      </c>
      <c r="J12" s="6" t="n">
        <v>40577341.44</v>
      </c>
      <c r="K12" s="6" t="n">
        <v>17538701.83</v>
      </c>
      <c r="L12" s="6" t="n">
        <v>50652.03</v>
      </c>
    </row>
    <row r="13">
      <c r="A13" s="5" t="n">
        <v>45627</v>
      </c>
      <c r="B13" t="n">
        <v>335</v>
      </c>
      <c r="C13" s="6" t="n">
        <v>58116043.27</v>
      </c>
      <c r="D13" s="6" t="n">
        <v>1309872.54</v>
      </c>
      <c r="E13" s="6" t="n">
        <v>0</v>
      </c>
      <c r="F13" s="6" t="n">
        <v>59425915.81</v>
      </c>
      <c r="G13" s="6" t="n">
        <v>40577341.44</v>
      </c>
      <c r="H13" s="6" t="n">
        <v>547016.4</v>
      </c>
      <c r="I13" s="6" t="n">
        <v>0</v>
      </c>
      <c r="J13" s="6" t="n">
        <v>41124357.84</v>
      </c>
      <c r="K13" s="6" t="n">
        <v>18301557.97</v>
      </c>
      <c r="L13" s="6" t="n">
        <v>0</v>
      </c>
    </row>
    <row r="14">
      <c r="A14" s="5" t="n">
        <v>45658</v>
      </c>
      <c r="B14" t="n">
        <v>340</v>
      </c>
      <c r="C14" s="6" t="n">
        <v>59425915.81</v>
      </c>
      <c r="D14" s="6" t="n">
        <v>985459.01</v>
      </c>
      <c r="E14" s="6" t="n">
        <v>71930.72</v>
      </c>
      <c r="F14" s="6" t="n">
        <v>60339444.1</v>
      </c>
      <c r="G14" s="6" t="n">
        <v>41124357.84</v>
      </c>
      <c r="H14" s="6" t="n">
        <v>558680.17</v>
      </c>
      <c r="I14" s="6" t="n">
        <v>59048.76</v>
      </c>
      <c r="J14" s="6" t="n">
        <v>41623989.24</v>
      </c>
      <c r="K14" s="6" t="n">
        <v>18715454.86</v>
      </c>
      <c r="L14" s="6" t="n">
        <v>12881.96</v>
      </c>
    </row>
    <row r="15">
      <c r="A15" s="5" t="n">
        <v>45689</v>
      </c>
      <c r="B15" t="n">
        <v>341</v>
      </c>
      <c r="C15" s="6" t="n">
        <v>60339444.1</v>
      </c>
      <c r="D15" s="6" t="n">
        <v>47935.06</v>
      </c>
      <c r="E15" s="6" t="n">
        <v>211704.55</v>
      </c>
      <c r="F15" s="6" t="n">
        <v>60175674.61</v>
      </c>
      <c r="G15" s="6" t="n">
        <v>41623989.24</v>
      </c>
      <c r="H15" s="6" t="n">
        <v>558466.08</v>
      </c>
      <c r="I15" s="6" t="n">
        <v>178798.48</v>
      </c>
      <c r="J15" s="6" t="n">
        <v>42003656.85</v>
      </c>
      <c r="K15" s="6" t="n">
        <v>18172017.76</v>
      </c>
      <c r="L15" s="6" t="n">
        <v>32906.07</v>
      </c>
    </row>
    <row r="16">
      <c r="A16" s="5" t="n">
        <v>45717</v>
      </c>
      <c r="B16" t="n">
        <v>344</v>
      </c>
      <c r="C16" s="6" t="n">
        <v>60175674.61</v>
      </c>
      <c r="D16" s="6" t="n">
        <v>959890.46</v>
      </c>
      <c r="E16" s="6" t="n">
        <v>0</v>
      </c>
      <c r="F16" s="6" t="n">
        <v>61135565.07</v>
      </c>
      <c r="G16" s="6" t="n">
        <v>42003656.85</v>
      </c>
      <c r="H16" s="6" t="n">
        <v>559880.36</v>
      </c>
      <c r="I16" s="6" t="n">
        <v>0</v>
      </c>
      <c r="J16" s="6" t="n">
        <v>42563537.2</v>
      </c>
      <c r="K16" s="6" t="n">
        <v>18572027.87</v>
      </c>
      <c r="L16" s="6" t="n">
        <v>0</v>
      </c>
    </row>
    <row r="17">
      <c r="A17" s="5" t="n">
        <v>45748</v>
      </c>
      <c r="B17" t="n">
        <v>347</v>
      </c>
      <c r="C17" s="6" t="n">
        <v>61135565.07</v>
      </c>
      <c r="D17" s="6" t="n">
        <v>127178.29</v>
      </c>
      <c r="E17" s="6" t="n">
        <v>0</v>
      </c>
      <c r="F17" s="6" t="n">
        <v>61262743.36</v>
      </c>
      <c r="G17" s="6" t="n">
        <v>42563537.2</v>
      </c>
      <c r="H17" s="6" t="n">
        <v>556895.52</v>
      </c>
      <c r="I17" s="6" t="n">
        <v>0</v>
      </c>
      <c r="J17" s="6" t="n">
        <v>43120432.72</v>
      </c>
      <c r="K17" s="6" t="n">
        <v>18142310.64</v>
      </c>
      <c r="L17" s="6" t="n">
        <v>0</v>
      </c>
    </row>
    <row r="18">
      <c r="A18" s="5" t="n">
        <v>45778</v>
      </c>
      <c r="B18" t="n">
        <v>350</v>
      </c>
      <c r="C18" s="6" t="n">
        <v>61262743.36</v>
      </c>
      <c r="D18" s="6" t="n">
        <v>223676.31</v>
      </c>
      <c r="E18" s="6" t="n">
        <v>705020.74</v>
      </c>
      <c r="F18" s="6" t="n">
        <v>60781398.93</v>
      </c>
      <c r="G18" s="6" t="n">
        <v>43120432.72</v>
      </c>
      <c r="H18" s="6" t="n">
        <v>530728.2</v>
      </c>
      <c r="I18" s="6" t="n">
        <v>167947.02</v>
      </c>
      <c r="J18" s="6" t="n">
        <v>43483213.9</v>
      </c>
      <c r="K18" s="6" t="n">
        <v>17298185.03</v>
      </c>
      <c r="L18" s="6" t="n">
        <v>537073.72</v>
      </c>
    </row>
    <row r="19">
      <c r="A19" s="5" t="n">
        <v>45809</v>
      </c>
      <c r="B19" t="n">
        <v>350</v>
      </c>
      <c r="C19" s="6" t="n">
        <v>60781398.93</v>
      </c>
      <c r="D19" s="6" t="n">
        <v>1103795.77</v>
      </c>
      <c r="E19" s="6" t="n">
        <v>0</v>
      </c>
      <c r="F19" s="6" t="n">
        <v>61885194.7</v>
      </c>
      <c r="G19" s="6" t="n">
        <v>43483213.9</v>
      </c>
      <c r="H19" s="6" t="n">
        <v>547536.78</v>
      </c>
      <c r="I19" s="6" t="n">
        <v>0</v>
      </c>
      <c r="J19" s="6" t="n">
        <v>44030750.68</v>
      </c>
      <c r="K19" s="6" t="n">
        <v>17854444.02</v>
      </c>
      <c r="L19" s="6" t="n">
        <v>0</v>
      </c>
    </row>
    <row r="20">
      <c r="A20" s="5" t="n">
        <v>45839</v>
      </c>
      <c r="B20" t="n">
        <v>351</v>
      </c>
      <c r="C20" s="6" t="n">
        <v>61885194.7</v>
      </c>
      <c r="D20" s="6" t="n">
        <v>59139.48</v>
      </c>
      <c r="E20" s="6" t="n">
        <v>1555833.2</v>
      </c>
      <c r="F20" s="6" t="n">
        <v>60388500.98</v>
      </c>
      <c r="G20" s="6" t="n">
        <v>44030750.68</v>
      </c>
      <c r="H20" s="6" t="n">
        <v>535196.9399999999</v>
      </c>
      <c r="I20" s="6" t="n">
        <v>718248.45</v>
      </c>
      <c r="J20" s="6" t="n">
        <v>43847699.17</v>
      </c>
      <c r="K20" s="6" t="n">
        <v>16540801.81</v>
      </c>
      <c r="L20" s="6" t="n">
        <v>837584.75</v>
      </c>
    </row>
    <row r="21">
      <c r="A21" s="5" t="n">
        <v>45870</v>
      </c>
      <c r="B21" t="n">
        <v>354</v>
      </c>
      <c r="C21" s="6" t="n">
        <v>60388500.98</v>
      </c>
      <c r="D21" s="6" t="n">
        <v>777884.7</v>
      </c>
      <c r="E21" s="6" t="n">
        <v>214382.07</v>
      </c>
      <c r="F21" s="6" t="n">
        <v>60952003.61</v>
      </c>
      <c r="G21" s="6" t="n">
        <v>43847699.17</v>
      </c>
      <c r="H21" s="6" t="n">
        <v>506619.88</v>
      </c>
      <c r="I21" s="6" t="n">
        <v>26455.08</v>
      </c>
      <c r="J21" s="6" t="n">
        <v>44327863.98</v>
      </c>
      <c r="K21" s="6" t="n">
        <v>16624139.63</v>
      </c>
      <c r="L21" s="6" t="n">
        <v>187926.99</v>
      </c>
    </row>
    <row r="22">
      <c r="A22" s="5" t="n">
        <v>45901</v>
      </c>
      <c r="B22" t="n">
        <v>358</v>
      </c>
      <c r="C22" s="6" t="n">
        <v>60952003.61</v>
      </c>
      <c r="D22" s="6" t="n">
        <v>2844441.65</v>
      </c>
      <c r="E22" s="6" t="n">
        <v>151125.1</v>
      </c>
      <c r="F22" s="6" t="n">
        <v>63645320.16</v>
      </c>
      <c r="G22" s="6" t="n">
        <v>44327863.98</v>
      </c>
      <c r="H22" s="6" t="n">
        <v>517560.77</v>
      </c>
      <c r="I22" s="6" t="n">
        <v>82627.64</v>
      </c>
      <c r="J22" s="6" t="n">
        <v>44762797.1</v>
      </c>
      <c r="K22" s="6" t="n">
        <v>18882523.06</v>
      </c>
      <c r="L22" s="6" t="n">
        <v>68497.46000000001</v>
      </c>
    </row>
    <row r="23">
      <c r="A23" s="5" t="n">
        <v>45931</v>
      </c>
      <c r="B23" t="n">
        <v>357</v>
      </c>
      <c r="C23" s="6" t="n">
        <v>63645320.16</v>
      </c>
      <c r="D23" s="6" t="n">
        <v>227275.44</v>
      </c>
      <c r="E23" s="6" t="n">
        <v>2338055.37</v>
      </c>
      <c r="F23" s="6" t="n">
        <v>61534540.23</v>
      </c>
      <c r="G23" s="6" t="n">
        <v>44762797.1</v>
      </c>
      <c r="H23" s="6" t="n">
        <v>528735.04</v>
      </c>
      <c r="I23" s="6" t="n">
        <v>2298581.2</v>
      </c>
      <c r="J23" s="6" t="n">
        <v>42992950.94</v>
      </c>
      <c r="K23" s="6" t="n">
        <v>18541589.29</v>
      </c>
      <c r="L23" s="6" t="n">
        <v>39474.17</v>
      </c>
    </row>
    <row r="24">
      <c r="A24" s="5" t="n">
        <v>45962</v>
      </c>
      <c r="B24" t="n">
        <v>358</v>
      </c>
      <c r="C24" s="6" t="n">
        <v>61534540.23</v>
      </c>
      <c r="D24" s="6" t="n">
        <v>1185959.57</v>
      </c>
      <c r="E24" s="6" t="n">
        <v>13855.61</v>
      </c>
      <c r="F24" s="6" t="n">
        <v>62706644.19</v>
      </c>
      <c r="G24" s="6" t="n">
        <v>42992950.94</v>
      </c>
      <c r="H24" s="6" t="n">
        <v>529366.49</v>
      </c>
      <c r="I24" s="6" t="n">
        <v>2193.8</v>
      </c>
      <c r="J24" s="6" t="n">
        <v>43520123.63</v>
      </c>
      <c r="K24" s="6" t="n">
        <v>19186520.56</v>
      </c>
      <c r="L24" s="6" t="n">
        <v>11661.81</v>
      </c>
    </row>
    <row r="25">
      <c r="A25" s="5" t="n">
        <v>45992</v>
      </c>
      <c r="B25" t="n">
        <v>360</v>
      </c>
      <c r="C25" s="6" t="n">
        <v>62706644.19</v>
      </c>
      <c r="D25" s="6" t="n">
        <v>2163579.37</v>
      </c>
      <c r="E25" s="6" t="n">
        <v>868692.33</v>
      </c>
      <c r="F25" s="6" t="n">
        <v>64001531.23</v>
      </c>
      <c r="G25" s="6" t="n">
        <v>43520123.63</v>
      </c>
      <c r="H25" s="6" t="n">
        <v>540383.46</v>
      </c>
      <c r="I25" s="6" t="n">
        <v>383826.28</v>
      </c>
      <c r="J25" s="6" t="n">
        <v>43676680.81</v>
      </c>
      <c r="K25" s="6" t="n">
        <v>20324850.42</v>
      </c>
      <c r="L25" s="6" t="n">
        <v>484866.05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Check: Power Query MonthlyTotals vs Python reference (expected_outputs)</t>
        </is>
      </c>
    </row>
    <row r="2">
      <c r="A2" s="7" t="inlineStr">
        <is>
          <t>Overall status</t>
        </is>
      </c>
      <c r="B2" s="7">
        <f>IF(NOT($B$3),"NOT LOADED - load query MonthlyTotals to PQ_MonthlyTotals!A1",IF(AND($B$5,COUNTIF(W8:W31,"OK")=24),"ALL CHECKS PASS","MISMATCH - see rows below"))</f>
        <v/>
      </c>
    </row>
    <row r="3">
      <c r="A3" s="7" t="inlineStr">
        <is>
          <t>PQ output loaded?</t>
        </is>
      </c>
      <c r="B3">
        <f>LEN(PQ_MonthlyTotals!$A$1)&gt;0</f>
        <v/>
      </c>
    </row>
    <row r="4">
      <c r="A4" s="7" t="inlineStr">
        <is>
          <t>Tolerance per value</t>
        </is>
      </c>
      <c r="B4" t="n">
        <v>0.01</v>
      </c>
    </row>
    <row r="5">
      <c r="A5" s="7" t="inlineStr">
        <is>
          <t>PQ columns in expected order?</t>
        </is>
      </c>
      <c r="B5">
        <f>AND(PQ_MonthlyTotals!A1="month_start",PQ_MonthlyTotals!B1="asset_rows",PQ_MonthlyTotals!C1="opening_cost",PQ_MonthlyTotals!D1="additions",PQ_MonthlyTotals!E1="disposals_cost",PQ_MonthlyTotals!F1="closing_cost",PQ_MonthlyTotals!G1="opening_acc_dep",PQ_MonthlyTotals!H1="depreciation",PQ_MonthlyTotals!I1="disposal_acc_dep",PQ_MonthlyTotals!J1="closing_acc_dep",PQ_MonthlyTotals!K1="closing_nbv",PQ_MonthlyTotals!L1="disposal_nbv")</f>
        <v/>
      </c>
    </row>
    <row r="6">
      <c r="A6" s="8" t="n"/>
      <c r="B6" s="8" t="inlineStr">
        <is>
          <t>asset_rows</t>
        </is>
      </c>
      <c r="C6" s="8" t="n"/>
      <c r="D6" s="8" t="n"/>
      <c r="E6" s="8" t="inlineStr">
        <is>
          <t>additions</t>
        </is>
      </c>
      <c r="F6" s="8" t="n"/>
      <c r="G6" s="8" t="n"/>
      <c r="H6" s="8" t="inlineStr">
        <is>
          <t>disposals_cost</t>
        </is>
      </c>
      <c r="I6" s="8" t="n"/>
      <c r="J6" s="8" t="n"/>
      <c r="K6" s="8" t="inlineStr">
        <is>
          <t>depreciation</t>
        </is>
      </c>
      <c r="L6" s="8" t="n"/>
      <c r="M6" s="8" t="n"/>
      <c r="N6" s="8" t="inlineStr">
        <is>
          <t>closing_cost</t>
        </is>
      </c>
      <c r="O6" s="8" t="n"/>
      <c r="P6" s="8" t="n"/>
      <c r="Q6" s="8" t="inlineStr">
        <is>
          <t>closing_acc_dep</t>
        </is>
      </c>
      <c r="R6" s="8" t="n"/>
      <c r="S6" s="8" t="n"/>
      <c r="T6" s="8" t="inlineStr">
        <is>
          <t>closing_nbv</t>
        </is>
      </c>
      <c r="U6" s="8" t="n"/>
      <c r="V6" s="8" t="n"/>
      <c r="W6" s="8" t="n"/>
    </row>
    <row r="7">
      <c r="A7" s="8" t="inlineStr">
        <is>
          <t>month_start</t>
        </is>
      </c>
      <c r="B7" s="8" t="inlineStr">
        <is>
          <t>Expected</t>
        </is>
      </c>
      <c r="C7" s="8" t="inlineStr">
        <is>
          <t>Power Query</t>
        </is>
      </c>
      <c r="D7" s="8" t="inlineStr">
        <is>
          <t>Difference</t>
        </is>
      </c>
      <c r="E7" s="8" t="inlineStr">
        <is>
          <t>Expected</t>
        </is>
      </c>
      <c r="F7" s="8" t="inlineStr">
        <is>
          <t>Power Query</t>
        </is>
      </c>
      <c r="G7" s="8" t="inlineStr">
        <is>
          <t>Difference</t>
        </is>
      </c>
      <c r="H7" s="8" t="inlineStr">
        <is>
          <t>Expected</t>
        </is>
      </c>
      <c r="I7" s="8" t="inlineStr">
        <is>
          <t>Power Query</t>
        </is>
      </c>
      <c r="J7" s="8" t="inlineStr">
        <is>
          <t>Difference</t>
        </is>
      </c>
      <c r="K7" s="8" t="inlineStr">
        <is>
          <t>Expected</t>
        </is>
      </c>
      <c r="L7" s="8" t="inlineStr">
        <is>
          <t>Power Query</t>
        </is>
      </c>
      <c r="M7" s="8" t="inlineStr">
        <is>
          <t>Difference</t>
        </is>
      </c>
      <c r="N7" s="8" t="inlineStr">
        <is>
          <t>Expected</t>
        </is>
      </c>
      <c r="O7" s="8" t="inlineStr">
        <is>
          <t>Power Query</t>
        </is>
      </c>
      <c r="P7" s="8" t="inlineStr">
        <is>
          <t>Difference</t>
        </is>
      </c>
      <c r="Q7" s="8" t="inlineStr">
        <is>
          <t>Expected</t>
        </is>
      </c>
      <c r="R7" s="8" t="inlineStr">
        <is>
          <t>Power Query</t>
        </is>
      </c>
      <c r="S7" s="8" t="inlineStr">
        <is>
          <t>Difference</t>
        </is>
      </c>
      <c r="T7" s="8" t="inlineStr">
        <is>
          <t>Expected</t>
        </is>
      </c>
      <c r="U7" s="8" t="inlineStr">
        <is>
          <t>Power Query</t>
        </is>
      </c>
      <c r="V7" s="8" t="inlineStr">
        <is>
          <t>Difference</t>
        </is>
      </c>
      <c r="W7" s="8" t="inlineStr">
        <is>
          <t>Row status</t>
        </is>
      </c>
    </row>
    <row r="8">
      <c r="A8" s="9">
        <f>Expected_MonthlyTotals!A2</f>
        <v/>
      </c>
      <c r="B8" s="10">
        <f>Expected_MonthlyTotals!B2</f>
        <v/>
      </c>
      <c r="C8" s="10">
        <f>IF($B$3,SUMIFS(PQ_MonthlyTotals!$B$2:$B$2000,PQ_MonthlyTotals!$A$2:$A$2000,$A8),"")</f>
        <v/>
      </c>
      <c r="D8" s="10">
        <f>IF($B$3,C8-B8,"")</f>
        <v/>
      </c>
      <c r="E8" s="6">
        <f>Expected_MonthlyTotals!D2</f>
        <v/>
      </c>
      <c r="F8" s="6">
        <f>IF($B$3,SUMIFS(PQ_MonthlyTotals!$D$2:$D$2000,PQ_MonthlyTotals!$A$2:$A$2000,$A8),"")</f>
        <v/>
      </c>
      <c r="G8" s="6">
        <f>IF($B$3,F8-E8,"")</f>
        <v/>
      </c>
      <c r="H8" s="6">
        <f>Expected_MonthlyTotals!E2</f>
        <v/>
      </c>
      <c r="I8" s="6">
        <f>IF($B$3,SUMIFS(PQ_MonthlyTotals!$E$2:$E$2000,PQ_MonthlyTotals!$A$2:$A$2000,$A8),"")</f>
        <v/>
      </c>
      <c r="J8" s="6">
        <f>IF($B$3,I8-H8,"")</f>
        <v/>
      </c>
      <c r="K8" s="6">
        <f>Expected_MonthlyTotals!H2</f>
        <v/>
      </c>
      <c r="L8" s="6">
        <f>IF($B$3,SUMIFS(PQ_MonthlyTotals!$H$2:$H$2000,PQ_MonthlyTotals!$A$2:$A$2000,$A8),"")</f>
        <v/>
      </c>
      <c r="M8" s="6">
        <f>IF($B$3,L8-K8,"")</f>
        <v/>
      </c>
      <c r="N8" s="6">
        <f>Expected_MonthlyTotals!F2</f>
        <v/>
      </c>
      <c r="O8" s="6">
        <f>IF($B$3,SUMIFS(PQ_MonthlyTotals!$F$2:$F$2000,PQ_MonthlyTotals!$A$2:$A$2000,$A8),"")</f>
        <v/>
      </c>
      <c r="P8" s="6">
        <f>IF($B$3,O8-N8,"")</f>
        <v/>
      </c>
      <c r="Q8" s="6">
        <f>Expected_MonthlyTotals!J2</f>
        <v/>
      </c>
      <c r="R8" s="6">
        <f>IF($B$3,SUMIFS(PQ_MonthlyTotals!$J$2:$J$2000,PQ_MonthlyTotals!$A$2:$A$2000,$A8),"")</f>
        <v/>
      </c>
      <c r="S8" s="6">
        <f>IF($B$3,R8-Q8,"")</f>
        <v/>
      </c>
      <c r="T8" s="6">
        <f>Expected_MonthlyTotals!K2</f>
        <v/>
      </c>
      <c r="U8" s="6">
        <f>IF($B$3,SUMIFS(PQ_MonthlyTotals!$K$2:$K$2000,PQ_MonthlyTotals!$A$2:$A$2000,$A8),"")</f>
        <v/>
      </c>
      <c r="V8" s="6">
        <f>IF($B$3,U8-T8,"")</f>
        <v/>
      </c>
      <c r="W8">
        <f>IF(NOT($B$3),"NOT LOADED",IF(AND(ABS(D8)&lt;=$B$4,ABS(G8)&lt;=$B$4,ABS(J8)&lt;=$B$4,ABS(M8)&lt;=$B$4,ABS(P8)&lt;=$B$4,ABS(S8)&lt;=$B$4,ABS(V8)&lt;=$B$4),"OK","MISMATCH"))</f>
        <v/>
      </c>
    </row>
    <row r="9">
      <c r="A9" s="9">
        <f>Expected_MonthlyTotals!A3</f>
        <v/>
      </c>
      <c r="B9" s="10">
        <f>Expected_MonthlyTotals!B3</f>
        <v/>
      </c>
      <c r="C9" s="10">
        <f>IF($B$3,SUMIFS(PQ_MonthlyTotals!$B$2:$B$2000,PQ_MonthlyTotals!$A$2:$A$2000,$A9),"")</f>
        <v/>
      </c>
      <c r="D9" s="10">
        <f>IF($B$3,C9-B9,"")</f>
        <v/>
      </c>
      <c r="E9" s="6">
        <f>Expected_MonthlyTotals!D3</f>
        <v/>
      </c>
      <c r="F9" s="6">
        <f>IF($B$3,SUMIFS(PQ_MonthlyTotals!$D$2:$D$2000,PQ_MonthlyTotals!$A$2:$A$2000,$A9),"")</f>
        <v/>
      </c>
      <c r="G9" s="6">
        <f>IF($B$3,F9-E9,"")</f>
        <v/>
      </c>
      <c r="H9" s="6">
        <f>Expected_MonthlyTotals!E3</f>
        <v/>
      </c>
      <c r="I9" s="6">
        <f>IF($B$3,SUMIFS(PQ_MonthlyTotals!$E$2:$E$2000,PQ_MonthlyTotals!$A$2:$A$2000,$A9),"")</f>
        <v/>
      </c>
      <c r="J9" s="6">
        <f>IF($B$3,I9-H9,"")</f>
        <v/>
      </c>
      <c r="K9" s="6">
        <f>Expected_MonthlyTotals!H3</f>
        <v/>
      </c>
      <c r="L9" s="6">
        <f>IF($B$3,SUMIFS(PQ_MonthlyTotals!$H$2:$H$2000,PQ_MonthlyTotals!$A$2:$A$2000,$A9),"")</f>
        <v/>
      </c>
      <c r="M9" s="6">
        <f>IF($B$3,L9-K9,"")</f>
        <v/>
      </c>
      <c r="N9" s="6">
        <f>Expected_MonthlyTotals!F3</f>
        <v/>
      </c>
      <c r="O9" s="6">
        <f>IF($B$3,SUMIFS(PQ_MonthlyTotals!$F$2:$F$2000,PQ_MonthlyTotals!$A$2:$A$2000,$A9),"")</f>
        <v/>
      </c>
      <c r="P9" s="6">
        <f>IF($B$3,O9-N9,"")</f>
        <v/>
      </c>
      <c r="Q9" s="6">
        <f>Expected_MonthlyTotals!J3</f>
        <v/>
      </c>
      <c r="R9" s="6">
        <f>IF($B$3,SUMIFS(PQ_MonthlyTotals!$J$2:$J$2000,PQ_MonthlyTotals!$A$2:$A$2000,$A9),"")</f>
        <v/>
      </c>
      <c r="S9" s="6">
        <f>IF($B$3,R9-Q9,"")</f>
        <v/>
      </c>
      <c r="T9" s="6">
        <f>Expected_MonthlyTotals!K3</f>
        <v/>
      </c>
      <c r="U9" s="6">
        <f>IF($B$3,SUMIFS(PQ_MonthlyTotals!$K$2:$K$2000,PQ_MonthlyTotals!$A$2:$A$2000,$A9),"")</f>
        <v/>
      </c>
      <c r="V9" s="6">
        <f>IF($B$3,U9-T9,"")</f>
        <v/>
      </c>
      <c r="W9">
        <f>IF(NOT($B$3),"NOT LOADED",IF(AND(ABS(D9)&lt;=$B$4,ABS(G9)&lt;=$B$4,ABS(J9)&lt;=$B$4,ABS(M9)&lt;=$B$4,ABS(P9)&lt;=$B$4,ABS(S9)&lt;=$B$4,ABS(V9)&lt;=$B$4),"OK","MISMATCH"))</f>
        <v/>
      </c>
    </row>
    <row r="10">
      <c r="A10" s="9">
        <f>Expected_MonthlyTotals!A4</f>
        <v/>
      </c>
      <c r="B10" s="10">
        <f>Expected_MonthlyTotals!B4</f>
        <v/>
      </c>
      <c r="C10" s="10">
        <f>IF($B$3,SUMIFS(PQ_MonthlyTotals!$B$2:$B$2000,PQ_MonthlyTotals!$A$2:$A$2000,$A10),"")</f>
        <v/>
      </c>
      <c r="D10" s="10">
        <f>IF($B$3,C10-B10,"")</f>
        <v/>
      </c>
      <c r="E10" s="6">
        <f>Expected_MonthlyTotals!D4</f>
        <v/>
      </c>
      <c r="F10" s="6">
        <f>IF($B$3,SUMIFS(PQ_MonthlyTotals!$D$2:$D$2000,PQ_MonthlyTotals!$A$2:$A$2000,$A10),"")</f>
        <v/>
      </c>
      <c r="G10" s="6">
        <f>IF($B$3,F10-E10,"")</f>
        <v/>
      </c>
      <c r="H10" s="6">
        <f>Expected_MonthlyTotals!E4</f>
        <v/>
      </c>
      <c r="I10" s="6">
        <f>IF($B$3,SUMIFS(PQ_MonthlyTotals!$E$2:$E$2000,PQ_MonthlyTotals!$A$2:$A$2000,$A10),"")</f>
        <v/>
      </c>
      <c r="J10" s="6">
        <f>IF($B$3,I10-H10,"")</f>
        <v/>
      </c>
      <c r="K10" s="6">
        <f>Expected_MonthlyTotals!H4</f>
        <v/>
      </c>
      <c r="L10" s="6">
        <f>IF($B$3,SUMIFS(PQ_MonthlyTotals!$H$2:$H$2000,PQ_MonthlyTotals!$A$2:$A$2000,$A10),"")</f>
        <v/>
      </c>
      <c r="M10" s="6">
        <f>IF($B$3,L10-K10,"")</f>
        <v/>
      </c>
      <c r="N10" s="6">
        <f>Expected_MonthlyTotals!F4</f>
        <v/>
      </c>
      <c r="O10" s="6">
        <f>IF($B$3,SUMIFS(PQ_MonthlyTotals!$F$2:$F$2000,PQ_MonthlyTotals!$A$2:$A$2000,$A10),"")</f>
        <v/>
      </c>
      <c r="P10" s="6">
        <f>IF($B$3,O10-N10,"")</f>
        <v/>
      </c>
      <c r="Q10" s="6">
        <f>Expected_MonthlyTotals!J4</f>
        <v/>
      </c>
      <c r="R10" s="6">
        <f>IF($B$3,SUMIFS(PQ_MonthlyTotals!$J$2:$J$2000,PQ_MonthlyTotals!$A$2:$A$2000,$A10),"")</f>
        <v/>
      </c>
      <c r="S10" s="6">
        <f>IF($B$3,R10-Q10,"")</f>
        <v/>
      </c>
      <c r="T10" s="6">
        <f>Expected_MonthlyTotals!K4</f>
        <v/>
      </c>
      <c r="U10" s="6">
        <f>IF($B$3,SUMIFS(PQ_MonthlyTotals!$K$2:$K$2000,PQ_MonthlyTotals!$A$2:$A$2000,$A10),"")</f>
        <v/>
      </c>
      <c r="V10" s="6">
        <f>IF($B$3,U10-T10,"")</f>
        <v/>
      </c>
      <c r="W10">
        <f>IF(NOT($B$3),"NOT LOADED",IF(AND(ABS(D10)&lt;=$B$4,ABS(G10)&lt;=$B$4,ABS(J10)&lt;=$B$4,ABS(M10)&lt;=$B$4,ABS(P10)&lt;=$B$4,ABS(S10)&lt;=$B$4,ABS(V10)&lt;=$B$4),"OK","MISMATCH"))</f>
        <v/>
      </c>
    </row>
    <row r="11">
      <c r="A11" s="9">
        <f>Expected_MonthlyTotals!A5</f>
        <v/>
      </c>
      <c r="B11" s="10">
        <f>Expected_MonthlyTotals!B5</f>
        <v/>
      </c>
      <c r="C11" s="10">
        <f>IF($B$3,SUMIFS(PQ_MonthlyTotals!$B$2:$B$2000,PQ_MonthlyTotals!$A$2:$A$2000,$A11),"")</f>
        <v/>
      </c>
      <c r="D11" s="10">
        <f>IF($B$3,C11-B11,"")</f>
        <v/>
      </c>
      <c r="E11" s="6">
        <f>Expected_MonthlyTotals!D5</f>
        <v/>
      </c>
      <c r="F11" s="6">
        <f>IF($B$3,SUMIFS(PQ_MonthlyTotals!$D$2:$D$2000,PQ_MonthlyTotals!$A$2:$A$2000,$A11),"")</f>
        <v/>
      </c>
      <c r="G11" s="6">
        <f>IF($B$3,F11-E11,"")</f>
        <v/>
      </c>
      <c r="H11" s="6">
        <f>Expected_MonthlyTotals!E5</f>
        <v/>
      </c>
      <c r="I11" s="6">
        <f>IF($B$3,SUMIFS(PQ_MonthlyTotals!$E$2:$E$2000,PQ_MonthlyTotals!$A$2:$A$2000,$A11),"")</f>
        <v/>
      </c>
      <c r="J11" s="6">
        <f>IF($B$3,I11-H11,"")</f>
        <v/>
      </c>
      <c r="K11" s="6">
        <f>Expected_MonthlyTotals!H5</f>
        <v/>
      </c>
      <c r="L11" s="6">
        <f>IF($B$3,SUMIFS(PQ_MonthlyTotals!$H$2:$H$2000,PQ_MonthlyTotals!$A$2:$A$2000,$A11),"")</f>
        <v/>
      </c>
      <c r="M11" s="6">
        <f>IF($B$3,L11-K11,"")</f>
        <v/>
      </c>
      <c r="N11" s="6">
        <f>Expected_MonthlyTotals!F5</f>
        <v/>
      </c>
      <c r="O11" s="6">
        <f>IF($B$3,SUMIFS(PQ_MonthlyTotals!$F$2:$F$2000,PQ_MonthlyTotals!$A$2:$A$2000,$A11),"")</f>
        <v/>
      </c>
      <c r="P11" s="6">
        <f>IF($B$3,O11-N11,"")</f>
        <v/>
      </c>
      <c r="Q11" s="6">
        <f>Expected_MonthlyTotals!J5</f>
        <v/>
      </c>
      <c r="R11" s="6">
        <f>IF($B$3,SUMIFS(PQ_MonthlyTotals!$J$2:$J$2000,PQ_MonthlyTotals!$A$2:$A$2000,$A11),"")</f>
        <v/>
      </c>
      <c r="S11" s="6">
        <f>IF($B$3,R11-Q11,"")</f>
        <v/>
      </c>
      <c r="T11" s="6">
        <f>Expected_MonthlyTotals!K5</f>
        <v/>
      </c>
      <c r="U11" s="6">
        <f>IF($B$3,SUMIFS(PQ_MonthlyTotals!$K$2:$K$2000,PQ_MonthlyTotals!$A$2:$A$2000,$A11),"")</f>
        <v/>
      </c>
      <c r="V11" s="6">
        <f>IF($B$3,U11-T11,"")</f>
        <v/>
      </c>
      <c r="W11">
        <f>IF(NOT($B$3),"NOT LOADED",IF(AND(ABS(D11)&lt;=$B$4,ABS(G11)&lt;=$B$4,ABS(J11)&lt;=$B$4,ABS(M11)&lt;=$B$4,ABS(P11)&lt;=$B$4,ABS(S11)&lt;=$B$4,ABS(V11)&lt;=$B$4),"OK","MISMATCH"))</f>
        <v/>
      </c>
    </row>
    <row r="12">
      <c r="A12" s="9">
        <f>Expected_MonthlyTotals!A6</f>
        <v/>
      </c>
      <c r="B12" s="10">
        <f>Expected_MonthlyTotals!B6</f>
        <v/>
      </c>
      <c r="C12" s="10">
        <f>IF($B$3,SUMIFS(PQ_MonthlyTotals!$B$2:$B$2000,PQ_MonthlyTotals!$A$2:$A$2000,$A12),"")</f>
        <v/>
      </c>
      <c r="D12" s="10">
        <f>IF($B$3,C12-B12,"")</f>
        <v/>
      </c>
      <c r="E12" s="6">
        <f>Expected_MonthlyTotals!D6</f>
        <v/>
      </c>
      <c r="F12" s="6">
        <f>IF($B$3,SUMIFS(PQ_MonthlyTotals!$D$2:$D$2000,PQ_MonthlyTotals!$A$2:$A$2000,$A12),"")</f>
        <v/>
      </c>
      <c r="G12" s="6">
        <f>IF($B$3,F12-E12,"")</f>
        <v/>
      </c>
      <c r="H12" s="6">
        <f>Expected_MonthlyTotals!E6</f>
        <v/>
      </c>
      <c r="I12" s="6">
        <f>IF($B$3,SUMIFS(PQ_MonthlyTotals!$E$2:$E$2000,PQ_MonthlyTotals!$A$2:$A$2000,$A12),"")</f>
        <v/>
      </c>
      <c r="J12" s="6">
        <f>IF($B$3,I12-H12,"")</f>
        <v/>
      </c>
      <c r="K12" s="6">
        <f>Expected_MonthlyTotals!H6</f>
        <v/>
      </c>
      <c r="L12" s="6">
        <f>IF($B$3,SUMIFS(PQ_MonthlyTotals!$H$2:$H$2000,PQ_MonthlyTotals!$A$2:$A$2000,$A12),"")</f>
        <v/>
      </c>
      <c r="M12" s="6">
        <f>IF($B$3,L12-K12,"")</f>
        <v/>
      </c>
      <c r="N12" s="6">
        <f>Expected_MonthlyTotals!F6</f>
        <v/>
      </c>
      <c r="O12" s="6">
        <f>IF($B$3,SUMIFS(PQ_MonthlyTotals!$F$2:$F$2000,PQ_MonthlyTotals!$A$2:$A$2000,$A12),"")</f>
        <v/>
      </c>
      <c r="P12" s="6">
        <f>IF($B$3,O12-N12,"")</f>
        <v/>
      </c>
      <c r="Q12" s="6">
        <f>Expected_MonthlyTotals!J6</f>
        <v/>
      </c>
      <c r="R12" s="6">
        <f>IF($B$3,SUMIFS(PQ_MonthlyTotals!$J$2:$J$2000,PQ_MonthlyTotals!$A$2:$A$2000,$A12),"")</f>
        <v/>
      </c>
      <c r="S12" s="6">
        <f>IF($B$3,R12-Q12,"")</f>
        <v/>
      </c>
      <c r="T12" s="6">
        <f>Expected_MonthlyTotals!K6</f>
        <v/>
      </c>
      <c r="U12" s="6">
        <f>IF($B$3,SUMIFS(PQ_MonthlyTotals!$K$2:$K$2000,PQ_MonthlyTotals!$A$2:$A$2000,$A12),"")</f>
        <v/>
      </c>
      <c r="V12" s="6">
        <f>IF($B$3,U12-T12,"")</f>
        <v/>
      </c>
      <c r="W12">
        <f>IF(NOT($B$3),"NOT LOADED",IF(AND(ABS(D12)&lt;=$B$4,ABS(G12)&lt;=$B$4,ABS(J12)&lt;=$B$4,ABS(M12)&lt;=$B$4,ABS(P12)&lt;=$B$4,ABS(S12)&lt;=$B$4,ABS(V12)&lt;=$B$4),"OK","MISMATCH"))</f>
        <v/>
      </c>
    </row>
    <row r="13">
      <c r="A13" s="9">
        <f>Expected_MonthlyTotals!A7</f>
        <v/>
      </c>
      <c r="B13" s="10">
        <f>Expected_MonthlyTotals!B7</f>
        <v/>
      </c>
      <c r="C13" s="10">
        <f>IF($B$3,SUMIFS(PQ_MonthlyTotals!$B$2:$B$2000,PQ_MonthlyTotals!$A$2:$A$2000,$A13),"")</f>
        <v/>
      </c>
      <c r="D13" s="10">
        <f>IF($B$3,C13-B13,"")</f>
        <v/>
      </c>
      <c r="E13" s="6">
        <f>Expected_MonthlyTotals!D7</f>
        <v/>
      </c>
      <c r="F13" s="6">
        <f>IF($B$3,SUMIFS(PQ_MonthlyTotals!$D$2:$D$2000,PQ_MonthlyTotals!$A$2:$A$2000,$A13),"")</f>
        <v/>
      </c>
      <c r="G13" s="6">
        <f>IF($B$3,F13-E13,"")</f>
        <v/>
      </c>
      <c r="H13" s="6">
        <f>Expected_MonthlyTotals!E7</f>
        <v/>
      </c>
      <c r="I13" s="6">
        <f>IF($B$3,SUMIFS(PQ_MonthlyTotals!$E$2:$E$2000,PQ_MonthlyTotals!$A$2:$A$2000,$A13),"")</f>
        <v/>
      </c>
      <c r="J13" s="6">
        <f>IF($B$3,I13-H13,"")</f>
        <v/>
      </c>
      <c r="K13" s="6">
        <f>Expected_MonthlyTotals!H7</f>
        <v/>
      </c>
      <c r="L13" s="6">
        <f>IF($B$3,SUMIFS(PQ_MonthlyTotals!$H$2:$H$2000,PQ_MonthlyTotals!$A$2:$A$2000,$A13),"")</f>
        <v/>
      </c>
      <c r="M13" s="6">
        <f>IF($B$3,L13-K13,"")</f>
        <v/>
      </c>
      <c r="N13" s="6">
        <f>Expected_MonthlyTotals!F7</f>
        <v/>
      </c>
      <c r="O13" s="6">
        <f>IF($B$3,SUMIFS(PQ_MonthlyTotals!$F$2:$F$2000,PQ_MonthlyTotals!$A$2:$A$2000,$A13),"")</f>
        <v/>
      </c>
      <c r="P13" s="6">
        <f>IF($B$3,O13-N13,"")</f>
        <v/>
      </c>
      <c r="Q13" s="6">
        <f>Expected_MonthlyTotals!J7</f>
        <v/>
      </c>
      <c r="R13" s="6">
        <f>IF($B$3,SUMIFS(PQ_MonthlyTotals!$J$2:$J$2000,PQ_MonthlyTotals!$A$2:$A$2000,$A13),"")</f>
        <v/>
      </c>
      <c r="S13" s="6">
        <f>IF($B$3,R13-Q13,"")</f>
        <v/>
      </c>
      <c r="T13" s="6">
        <f>Expected_MonthlyTotals!K7</f>
        <v/>
      </c>
      <c r="U13" s="6">
        <f>IF($B$3,SUMIFS(PQ_MonthlyTotals!$K$2:$K$2000,PQ_MonthlyTotals!$A$2:$A$2000,$A13),"")</f>
        <v/>
      </c>
      <c r="V13" s="6">
        <f>IF($B$3,U13-T13,"")</f>
        <v/>
      </c>
      <c r="W13">
        <f>IF(NOT($B$3),"NOT LOADED",IF(AND(ABS(D13)&lt;=$B$4,ABS(G13)&lt;=$B$4,ABS(J13)&lt;=$B$4,ABS(M13)&lt;=$B$4,ABS(P13)&lt;=$B$4,ABS(S13)&lt;=$B$4,ABS(V13)&lt;=$B$4),"OK","MISMATCH"))</f>
        <v/>
      </c>
    </row>
    <row r="14">
      <c r="A14" s="9">
        <f>Expected_MonthlyTotals!A8</f>
        <v/>
      </c>
      <c r="B14" s="10">
        <f>Expected_MonthlyTotals!B8</f>
        <v/>
      </c>
      <c r="C14" s="10">
        <f>IF($B$3,SUMIFS(PQ_MonthlyTotals!$B$2:$B$2000,PQ_MonthlyTotals!$A$2:$A$2000,$A14),"")</f>
        <v/>
      </c>
      <c r="D14" s="10">
        <f>IF($B$3,C14-B14,"")</f>
        <v/>
      </c>
      <c r="E14" s="6">
        <f>Expected_MonthlyTotals!D8</f>
        <v/>
      </c>
      <c r="F14" s="6">
        <f>IF($B$3,SUMIFS(PQ_MonthlyTotals!$D$2:$D$2000,PQ_MonthlyTotals!$A$2:$A$2000,$A14),"")</f>
        <v/>
      </c>
      <c r="G14" s="6">
        <f>IF($B$3,F14-E14,"")</f>
        <v/>
      </c>
      <c r="H14" s="6">
        <f>Expected_MonthlyTotals!E8</f>
        <v/>
      </c>
      <c r="I14" s="6">
        <f>IF($B$3,SUMIFS(PQ_MonthlyTotals!$E$2:$E$2000,PQ_MonthlyTotals!$A$2:$A$2000,$A14),"")</f>
        <v/>
      </c>
      <c r="J14" s="6">
        <f>IF($B$3,I14-H14,"")</f>
        <v/>
      </c>
      <c r="K14" s="6">
        <f>Expected_MonthlyTotals!H8</f>
        <v/>
      </c>
      <c r="L14" s="6">
        <f>IF($B$3,SUMIFS(PQ_MonthlyTotals!$H$2:$H$2000,PQ_MonthlyTotals!$A$2:$A$2000,$A14),"")</f>
        <v/>
      </c>
      <c r="M14" s="6">
        <f>IF($B$3,L14-K14,"")</f>
        <v/>
      </c>
      <c r="N14" s="6">
        <f>Expected_MonthlyTotals!F8</f>
        <v/>
      </c>
      <c r="O14" s="6">
        <f>IF($B$3,SUMIFS(PQ_MonthlyTotals!$F$2:$F$2000,PQ_MonthlyTotals!$A$2:$A$2000,$A14),"")</f>
        <v/>
      </c>
      <c r="P14" s="6">
        <f>IF($B$3,O14-N14,"")</f>
        <v/>
      </c>
      <c r="Q14" s="6">
        <f>Expected_MonthlyTotals!J8</f>
        <v/>
      </c>
      <c r="R14" s="6">
        <f>IF($B$3,SUMIFS(PQ_MonthlyTotals!$J$2:$J$2000,PQ_MonthlyTotals!$A$2:$A$2000,$A14),"")</f>
        <v/>
      </c>
      <c r="S14" s="6">
        <f>IF($B$3,R14-Q14,"")</f>
        <v/>
      </c>
      <c r="T14" s="6">
        <f>Expected_MonthlyTotals!K8</f>
        <v/>
      </c>
      <c r="U14" s="6">
        <f>IF($B$3,SUMIFS(PQ_MonthlyTotals!$K$2:$K$2000,PQ_MonthlyTotals!$A$2:$A$2000,$A14),"")</f>
        <v/>
      </c>
      <c r="V14" s="6">
        <f>IF($B$3,U14-T14,"")</f>
        <v/>
      </c>
      <c r="W14">
        <f>IF(NOT($B$3),"NOT LOADED",IF(AND(ABS(D14)&lt;=$B$4,ABS(G14)&lt;=$B$4,ABS(J14)&lt;=$B$4,ABS(M14)&lt;=$B$4,ABS(P14)&lt;=$B$4,ABS(S14)&lt;=$B$4,ABS(V14)&lt;=$B$4),"OK","MISMATCH"))</f>
        <v/>
      </c>
    </row>
    <row r="15">
      <c r="A15" s="9">
        <f>Expected_MonthlyTotals!A9</f>
        <v/>
      </c>
      <c r="B15" s="10">
        <f>Expected_MonthlyTotals!B9</f>
        <v/>
      </c>
      <c r="C15" s="10">
        <f>IF($B$3,SUMIFS(PQ_MonthlyTotals!$B$2:$B$2000,PQ_MonthlyTotals!$A$2:$A$2000,$A15),"")</f>
        <v/>
      </c>
      <c r="D15" s="10">
        <f>IF($B$3,C15-B15,"")</f>
        <v/>
      </c>
      <c r="E15" s="6">
        <f>Expected_MonthlyTotals!D9</f>
        <v/>
      </c>
      <c r="F15" s="6">
        <f>IF($B$3,SUMIFS(PQ_MonthlyTotals!$D$2:$D$2000,PQ_MonthlyTotals!$A$2:$A$2000,$A15),"")</f>
        <v/>
      </c>
      <c r="G15" s="6">
        <f>IF($B$3,F15-E15,"")</f>
        <v/>
      </c>
      <c r="H15" s="6">
        <f>Expected_MonthlyTotals!E9</f>
        <v/>
      </c>
      <c r="I15" s="6">
        <f>IF($B$3,SUMIFS(PQ_MonthlyTotals!$E$2:$E$2000,PQ_MonthlyTotals!$A$2:$A$2000,$A15),"")</f>
        <v/>
      </c>
      <c r="J15" s="6">
        <f>IF($B$3,I15-H15,"")</f>
        <v/>
      </c>
      <c r="K15" s="6">
        <f>Expected_MonthlyTotals!H9</f>
        <v/>
      </c>
      <c r="L15" s="6">
        <f>IF($B$3,SUMIFS(PQ_MonthlyTotals!$H$2:$H$2000,PQ_MonthlyTotals!$A$2:$A$2000,$A15),"")</f>
        <v/>
      </c>
      <c r="M15" s="6">
        <f>IF($B$3,L15-K15,"")</f>
        <v/>
      </c>
      <c r="N15" s="6">
        <f>Expected_MonthlyTotals!F9</f>
        <v/>
      </c>
      <c r="O15" s="6">
        <f>IF($B$3,SUMIFS(PQ_MonthlyTotals!$F$2:$F$2000,PQ_MonthlyTotals!$A$2:$A$2000,$A15),"")</f>
        <v/>
      </c>
      <c r="P15" s="6">
        <f>IF($B$3,O15-N15,"")</f>
        <v/>
      </c>
      <c r="Q15" s="6">
        <f>Expected_MonthlyTotals!J9</f>
        <v/>
      </c>
      <c r="R15" s="6">
        <f>IF($B$3,SUMIFS(PQ_MonthlyTotals!$J$2:$J$2000,PQ_MonthlyTotals!$A$2:$A$2000,$A15),"")</f>
        <v/>
      </c>
      <c r="S15" s="6">
        <f>IF($B$3,R15-Q15,"")</f>
        <v/>
      </c>
      <c r="T15" s="6">
        <f>Expected_MonthlyTotals!K9</f>
        <v/>
      </c>
      <c r="U15" s="6">
        <f>IF($B$3,SUMIFS(PQ_MonthlyTotals!$K$2:$K$2000,PQ_MonthlyTotals!$A$2:$A$2000,$A15),"")</f>
        <v/>
      </c>
      <c r="V15" s="6">
        <f>IF($B$3,U15-T15,"")</f>
        <v/>
      </c>
      <c r="W15">
        <f>IF(NOT($B$3),"NOT LOADED",IF(AND(ABS(D15)&lt;=$B$4,ABS(G15)&lt;=$B$4,ABS(J15)&lt;=$B$4,ABS(M15)&lt;=$B$4,ABS(P15)&lt;=$B$4,ABS(S15)&lt;=$B$4,ABS(V15)&lt;=$B$4),"OK","MISMATCH"))</f>
        <v/>
      </c>
    </row>
    <row r="16">
      <c r="A16" s="9">
        <f>Expected_MonthlyTotals!A10</f>
        <v/>
      </c>
      <c r="B16" s="10">
        <f>Expected_MonthlyTotals!B10</f>
        <v/>
      </c>
      <c r="C16" s="10">
        <f>IF($B$3,SUMIFS(PQ_MonthlyTotals!$B$2:$B$2000,PQ_MonthlyTotals!$A$2:$A$2000,$A16),"")</f>
        <v/>
      </c>
      <c r="D16" s="10">
        <f>IF($B$3,C16-B16,"")</f>
        <v/>
      </c>
      <c r="E16" s="6">
        <f>Expected_MonthlyTotals!D10</f>
        <v/>
      </c>
      <c r="F16" s="6">
        <f>IF($B$3,SUMIFS(PQ_MonthlyTotals!$D$2:$D$2000,PQ_MonthlyTotals!$A$2:$A$2000,$A16),"")</f>
        <v/>
      </c>
      <c r="G16" s="6">
        <f>IF($B$3,F16-E16,"")</f>
        <v/>
      </c>
      <c r="H16" s="6">
        <f>Expected_MonthlyTotals!E10</f>
        <v/>
      </c>
      <c r="I16" s="6">
        <f>IF($B$3,SUMIFS(PQ_MonthlyTotals!$E$2:$E$2000,PQ_MonthlyTotals!$A$2:$A$2000,$A16),"")</f>
        <v/>
      </c>
      <c r="J16" s="6">
        <f>IF($B$3,I16-H16,"")</f>
        <v/>
      </c>
      <c r="K16" s="6">
        <f>Expected_MonthlyTotals!H10</f>
        <v/>
      </c>
      <c r="L16" s="6">
        <f>IF($B$3,SUMIFS(PQ_MonthlyTotals!$H$2:$H$2000,PQ_MonthlyTotals!$A$2:$A$2000,$A16),"")</f>
        <v/>
      </c>
      <c r="M16" s="6">
        <f>IF($B$3,L16-K16,"")</f>
        <v/>
      </c>
      <c r="N16" s="6">
        <f>Expected_MonthlyTotals!F10</f>
        <v/>
      </c>
      <c r="O16" s="6">
        <f>IF($B$3,SUMIFS(PQ_MonthlyTotals!$F$2:$F$2000,PQ_MonthlyTotals!$A$2:$A$2000,$A16),"")</f>
        <v/>
      </c>
      <c r="P16" s="6">
        <f>IF($B$3,O16-N16,"")</f>
        <v/>
      </c>
      <c r="Q16" s="6">
        <f>Expected_MonthlyTotals!J10</f>
        <v/>
      </c>
      <c r="R16" s="6">
        <f>IF($B$3,SUMIFS(PQ_MonthlyTotals!$J$2:$J$2000,PQ_MonthlyTotals!$A$2:$A$2000,$A16),"")</f>
        <v/>
      </c>
      <c r="S16" s="6">
        <f>IF($B$3,R16-Q16,"")</f>
        <v/>
      </c>
      <c r="T16" s="6">
        <f>Expected_MonthlyTotals!K10</f>
        <v/>
      </c>
      <c r="U16" s="6">
        <f>IF($B$3,SUMIFS(PQ_MonthlyTotals!$K$2:$K$2000,PQ_MonthlyTotals!$A$2:$A$2000,$A16),"")</f>
        <v/>
      </c>
      <c r="V16" s="6">
        <f>IF($B$3,U16-T16,"")</f>
        <v/>
      </c>
      <c r="W16">
        <f>IF(NOT($B$3),"NOT LOADED",IF(AND(ABS(D16)&lt;=$B$4,ABS(G16)&lt;=$B$4,ABS(J16)&lt;=$B$4,ABS(M16)&lt;=$B$4,ABS(P16)&lt;=$B$4,ABS(S16)&lt;=$B$4,ABS(V16)&lt;=$B$4),"OK","MISMATCH"))</f>
        <v/>
      </c>
    </row>
    <row r="17">
      <c r="A17" s="9">
        <f>Expected_MonthlyTotals!A11</f>
        <v/>
      </c>
      <c r="B17" s="10">
        <f>Expected_MonthlyTotals!B11</f>
        <v/>
      </c>
      <c r="C17" s="10">
        <f>IF($B$3,SUMIFS(PQ_MonthlyTotals!$B$2:$B$2000,PQ_MonthlyTotals!$A$2:$A$2000,$A17),"")</f>
        <v/>
      </c>
      <c r="D17" s="10">
        <f>IF($B$3,C17-B17,"")</f>
        <v/>
      </c>
      <c r="E17" s="6">
        <f>Expected_MonthlyTotals!D11</f>
        <v/>
      </c>
      <c r="F17" s="6">
        <f>IF($B$3,SUMIFS(PQ_MonthlyTotals!$D$2:$D$2000,PQ_MonthlyTotals!$A$2:$A$2000,$A17),"")</f>
        <v/>
      </c>
      <c r="G17" s="6">
        <f>IF($B$3,F17-E17,"")</f>
        <v/>
      </c>
      <c r="H17" s="6">
        <f>Expected_MonthlyTotals!E11</f>
        <v/>
      </c>
      <c r="I17" s="6">
        <f>IF($B$3,SUMIFS(PQ_MonthlyTotals!$E$2:$E$2000,PQ_MonthlyTotals!$A$2:$A$2000,$A17),"")</f>
        <v/>
      </c>
      <c r="J17" s="6">
        <f>IF($B$3,I17-H17,"")</f>
        <v/>
      </c>
      <c r="K17" s="6">
        <f>Expected_MonthlyTotals!H11</f>
        <v/>
      </c>
      <c r="L17" s="6">
        <f>IF($B$3,SUMIFS(PQ_MonthlyTotals!$H$2:$H$2000,PQ_MonthlyTotals!$A$2:$A$2000,$A17),"")</f>
        <v/>
      </c>
      <c r="M17" s="6">
        <f>IF($B$3,L17-K17,"")</f>
        <v/>
      </c>
      <c r="N17" s="6">
        <f>Expected_MonthlyTotals!F11</f>
        <v/>
      </c>
      <c r="O17" s="6">
        <f>IF($B$3,SUMIFS(PQ_MonthlyTotals!$F$2:$F$2000,PQ_MonthlyTotals!$A$2:$A$2000,$A17),"")</f>
        <v/>
      </c>
      <c r="P17" s="6">
        <f>IF($B$3,O17-N17,"")</f>
        <v/>
      </c>
      <c r="Q17" s="6">
        <f>Expected_MonthlyTotals!J11</f>
        <v/>
      </c>
      <c r="R17" s="6">
        <f>IF($B$3,SUMIFS(PQ_MonthlyTotals!$J$2:$J$2000,PQ_MonthlyTotals!$A$2:$A$2000,$A17),"")</f>
        <v/>
      </c>
      <c r="S17" s="6">
        <f>IF($B$3,R17-Q17,"")</f>
        <v/>
      </c>
      <c r="T17" s="6">
        <f>Expected_MonthlyTotals!K11</f>
        <v/>
      </c>
      <c r="U17" s="6">
        <f>IF($B$3,SUMIFS(PQ_MonthlyTotals!$K$2:$K$2000,PQ_MonthlyTotals!$A$2:$A$2000,$A17),"")</f>
        <v/>
      </c>
      <c r="V17" s="6">
        <f>IF($B$3,U17-T17,"")</f>
        <v/>
      </c>
      <c r="W17">
        <f>IF(NOT($B$3),"NOT LOADED",IF(AND(ABS(D17)&lt;=$B$4,ABS(G17)&lt;=$B$4,ABS(J17)&lt;=$B$4,ABS(M17)&lt;=$B$4,ABS(P17)&lt;=$B$4,ABS(S17)&lt;=$B$4,ABS(V17)&lt;=$B$4),"OK","MISMATCH"))</f>
        <v/>
      </c>
    </row>
    <row r="18">
      <c r="A18" s="9">
        <f>Expected_MonthlyTotals!A12</f>
        <v/>
      </c>
      <c r="B18" s="10">
        <f>Expected_MonthlyTotals!B12</f>
        <v/>
      </c>
      <c r="C18" s="10">
        <f>IF($B$3,SUMIFS(PQ_MonthlyTotals!$B$2:$B$2000,PQ_MonthlyTotals!$A$2:$A$2000,$A18),"")</f>
        <v/>
      </c>
      <c r="D18" s="10">
        <f>IF($B$3,C18-B18,"")</f>
        <v/>
      </c>
      <c r="E18" s="6">
        <f>Expected_MonthlyTotals!D12</f>
        <v/>
      </c>
      <c r="F18" s="6">
        <f>IF($B$3,SUMIFS(PQ_MonthlyTotals!$D$2:$D$2000,PQ_MonthlyTotals!$A$2:$A$2000,$A18),"")</f>
        <v/>
      </c>
      <c r="G18" s="6">
        <f>IF($B$3,F18-E18,"")</f>
        <v/>
      </c>
      <c r="H18" s="6">
        <f>Expected_MonthlyTotals!E12</f>
        <v/>
      </c>
      <c r="I18" s="6">
        <f>IF($B$3,SUMIFS(PQ_MonthlyTotals!$E$2:$E$2000,PQ_MonthlyTotals!$A$2:$A$2000,$A18),"")</f>
        <v/>
      </c>
      <c r="J18" s="6">
        <f>IF($B$3,I18-H18,"")</f>
        <v/>
      </c>
      <c r="K18" s="6">
        <f>Expected_MonthlyTotals!H12</f>
        <v/>
      </c>
      <c r="L18" s="6">
        <f>IF($B$3,SUMIFS(PQ_MonthlyTotals!$H$2:$H$2000,PQ_MonthlyTotals!$A$2:$A$2000,$A18),"")</f>
        <v/>
      </c>
      <c r="M18" s="6">
        <f>IF($B$3,L18-K18,"")</f>
        <v/>
      </c>
      <c r="N18" s="6">
        <f>Expected_MonthlyTotals!F12</f>
        <v/>
      </c>
      <c r="O18" s="6">
        <f>IF($B$3,SUMIFS(PQ_MonthlyTotals!$F$2:$F$2000,PQ_MonthlyTotals!$A$2:$A$2000,$A18),"")</f>
        <v/>
      </c>
      <c r="P18" s="6">
        <f>IF($B$3,O18-N18,"")</f>
        <v/>
      </c>
      <c r="Q18" s="6">
        <f>Expected_MonthlyTotals!J12</f>
        <v/>
      </c>
      <c r="R18" s="6">
        <f>IF($B$3,SUMIFS(PQ_MonthlyTotals!$J$2:$J$2000,PQ_MonthlyTotals!$A$2:$A$2000,$A18),"")</f>
        <v/>
      </c>
      <c r="S18" s="6">
        <f>IF($B$3,R18-Q18,"")</f>
        <v/>
      </c>
      <c r="T18" s="6">
        <f>Expected_MonthlyTotals!K12</f>
        <v/>
      </c>
      <c r="U18" s="6">
        <f>IF($B$3,SUMIFS(PQ_MonthlyTotals!$K$2:$K$2000,PQ_MonthlyTotals!$A$2:$A$2000,$A18),"")</f>
        <v/>
      </c>
      <c r="V18" s="6">
        <f>IF($B$3,U18-T18,"")</f>
        <v/>
      </c>
      <c r="W18">
        <f>IF(NOT($B$3),"NOT LOADED",IF(AND(ABS(D18)&lt;=$B$4,ABS(G18)&lt;=$B$4,ABS(J18)&lt;=$B$4,ABS(M18)&lt;=$B$4,ABS(P18)&lt;=$B$4,ABS(S18)&lt;=$B$4,ABS(V18)&lt;=$B$4),"OK","MISMATCH"))</f>
        <v/>
      </c>
    </row>
    <row r="19">
      <c r="A19" s="9">
        <f>Expected_MonthlyTotals!A13</f>
        <v/>
      </c>
      <c r="B19" s="10">
        <f>Expected_MonthlyTotals!B13</f>
        <v/>
      </c>
      <c r="C19" s="10">
        <f>IF($B$3,SUMIFS(PQ_MonthlyTotals!$B$2:$B$2000,PQ_MonthlyTotals!$A$2:$A$2000,$A19),"")</f>
        <v/>
      </c>
      <c r="D19" s="10">
        <f>IF($B$3,C19-B19,"")</f>
        <v/>
      </c>
      <c r="E19" s="6">
        <f>Expected_MonthlyTotals!D13</f>
        <v/>
      </c>
      <c r="F19" s="6">
        <f>IF($B$3,SUMIFS(PQ_MonthlyTotals!$D$2:$D$2000,PQ_MonthlyTotals!$A$2:$A$2000,$A19),"")</f>
        <v/>
      </c>
      <c r="G19" s="6">
        <f>IF($B$3,F19-E19,"")</f>
        <v/>
      </c>
      <c r="H19" s="6">
        <f>Expected_MonthlyTotals!E13</f>
        <v/>
      </c>
      <c r="I19" s="6">
        <f>IF($B$3,SUMIFS(PQ_MonthlyTotals!$E$2:$E$2000,PQ_MonthlyTotals!$A$2:$A$2000,$A19),"")</f>
        <v/>
      </c>
      <c r="J19" s="6">
        <f>IF($B$3,I19-H19,"")</f>
        <v/>
      </c>
      <c r="K19" s="6">
        <f>Expected_MonthlyTotals!H13</f>
        <v/>
      </c>
      <c r="L19" s="6">
        <f>IF($B$3,SUMIFS(PQ_MonthlyTotals!$H$2:$H$2000,PQ_MonthlyTotals!$A$2:$A$2000,$A19),"")</f>
        <v/>
      </c>
      <c r="M19" s="6">
        <f>IF($B$3,L19-K19,"")</f>
        <v/>
      </c>
      <c r="N19" s="6">
        <f>Expected_MonthlyTotals!F13</f>
        <v/>
      </c>
      <c r="O19" s="6">
        <f>IF($B$3,SUMIFS(PQ_MonthlyTotals!$F$2:$F$2000,PQ_MonthlyTotals!$A$2:$A$2000,$A19),"")</f>
        <v/>
      </c>
      <c r="P19" s="6">
        <f>IF($B$3,O19-N19,"")</f>
        <v/>
      </c>
      <c r="Q19" s="6">
        <f>Expected_MonthlyTotals!J13</f>
        <v/>
      </c>
      <c r="R19" s="6">
        <f>IF($B$3,SUMIFS(PQ_MonthlyTotals!$J$2:$J$2000,PQ_MonthlyTotals!$A$2:$A$2000,$A19),"")</f>
        <v/>
      </c>
      <c r="S19" s="6">
        <f>IF($B$3,R19-Q19,"")</f>
        <v/>
      </c>
      <c r="T19" s="6">
        <f>Expected_MonthlyTotals!K13</f>
        <v/>
      </c>
      <c r="U19" s="6">
        <f>IF($B$3,SUMIFS(PQ_MonthlyTotals!$K$2:$K$2000,PQ_MonthlyTotals!$A$2:$A$2000,$A19),"")</f>
        <v/>
      </c>
      <c r="V19" s="6">
        <f>IF($B$3,U19-T19,"")</f>
        <v/>
      </c>
      <c r="W19">
        <f>IF(NOT($B$3),"NOT LOADED",IF(AND(ABS(D19)&lt;=$B$4,ABS(G19)&lt;=$B$4,ABS(J19)&lt;=$B$4,ABS(M19)&lt;=$B$4,ABS(P19)&lt;=$B$4,ABS(S19)&lt;=$B$4,ABS(V19)&lt;=$B$4),"OK","MISMATCH"))</f>
        <v/>
      </c>
    </row>
    <row r="20">
      <c r="A20" s="9">
        <f>Expected_MonthlyTotals!A14</f>
        <v/>
      </c>
      <c r="B20" s="10">
        <f>Expected_MonthlyTotals!B14</f>
        <v/>
      </c>
      <c r="C20" s="10">
        <f>IF($B$3,SUMIFS(PQ_MonthlyTotals!$B$2:$B$2000,PQ_MonthlyTotals!$A$2:$A$2000,$A20),"")</f>
        <v/>
      </c>
      <c r="D20" s="10">
        <f>IF($B$3,C20-B20,"")</f>
        <v/>
      </c>
      <c r="E20" s="6">
        <f>Expected_MonthlyTotals!D14</f>
        <v/>
      </c>
      <c r="F20" s="6">
        <f>IF($B$3,SUMIFS(PQ_MonthlyTotals!$D$2:$D$2000,PQ_MonthlyTotals!$A$2:$A$2000,$A20),"")</f>
        <v/>
      </c>
      <c r="G20" s="6">
        <f>IF($B$3,F20-E20,"")</f>
        <v/>
      </c>
      <c r="H20" s="6">
        <f>Expected_MonthlyTotals!E14</f>
        <v/>
      </c>
      <c r="I20" s="6">
        <f>IF($B$3,SUMIFS(PQ_MonthlyTotals!$E$2:$E$2000,PQ_MonthlyTotals!$A$2:$A$2000,$A20),"")</f>
        <v/>
      </c>
      <c r="J20" s="6">
        <f>IF($B$3,I20-H20,"")</f>
        <v/>
      </c>
      <c r="K20" s="6">
        <f>Expected_MonthlyTotals!H14</f>
        <v/>
      </c>
      <c r="L20" s="6">
        <f>IF($B$3,SUMIFS(PQ_MonthlyTotals!$H$2:$H$2000,PQ_MonthlyTotals!$A$2:$A$2000,$A20),"")</f>
        <v/>
      </c>
      <c r="M20" s="6">
        <f>IF($B$3,L20-K20,"")</f>
        <v/>
      </c>
      <c r="N20" s="6">
        <f>Expected_MonthlyTotals!F14</f>
        <v/>
      </c>
      <c r="O20" s="6">
        <f>IF($B$3,SUMIFS(PQ_MonthlyTotals!$F$2:$F$2000,PQ_MonthlyTotals!$A$2:$A$2000,$A20),"")</f>
        <v/>
      </c>
      <c r="P20" s="6">
        <f>IF($B$3,O20-N20,"")</f>
        <v/>
      </c>
      <c r="Q20" s="6">
        <f>Expected_MonthlyTotals!J14</f>
        <v/>
      </c>
      <c r="R20" s="6">
        <f>IF($B$3,SUMIFS(PQ_MonthlyTotals!$J$2:$J$2000,PQ_MonthlyTotals!$A$2:$A$2000,$A20),"")</f>
        <v/>
      </c>
      <c r="S20" s="6">
        <f>IF($B$3,R20-Q20,"")</f>
        <v/>
      </c>
      <c r="T20" s="6">
        <f>Expected_MonthlyTotals!K14</f>
        <v/>
      </c>
      <c r="U20" s="6">
        <f>IF($B$3,SUMIFS(PQ_MonthlyTotals!$K$2:$K$2000,PQ_MonthlyTotals!$A$2:$A$2000,$A20),"")</f>
        <v/>
      </c>
      <c r="V20" s="6">
        <f>IF($B$3,U20-T20,"")</f>
        <v/>
      </c>
      <c r="W20">
        <f>IF(NOT($B$3),"NOT LOADED",IF(AND(ABS(D20)&lt;=$B$4,ABS(G20)&lt;=$B$4,ABS(J20)&lt;=$B$4,ABS(M20)&lt;=$B$4,ABS(P20)&lt;=$B$4,ABS(S20)&lt;=$B$4,ABS(V20)&lt;=$B$4),"OK","MISMATCH"))</f>
        <v/>
      </c>
    </row>
    <row r="21">
      <c r="A21" s="9">
        <f>Expected_MonthlyTotals!A15</f>
        <v/>
      </c>
      <c r="B21" s="10">
        <f>Expected_MonthlyTotals!B15</f>
        <v/>
      </c>
      <c r="C21" s="10">
        <f>IF($B$3,SUMIFS(PQ_MonthlyTotals!$B$2:$B$2000,PQ_MonthlyTotals!$A$2:$A$2000,$A21),"")</f>
        <v/>
      </c>
      <c r="D21" s="10">
        <f>IF($B$3,C21-B21,"")</f>
        <v/>
      </c>
      <c r="E21" s="6">
        <f>Expected_MonthlyTotals!D15</f>
        <v/>
      </c>
      <c r="F21" s="6">
        <f>IF($B$3,SUMIFS(PQ_MonthlyTotals!$D$2:$D$2000,PQ_MonthlyTotals!$A$2:$A$2000,$A21),"")</f>
        <v/>
      </c>
      <c r="G21" s="6">
        <f>IF($B$3,F21-E21,"")</f>
        <v/>
      </c>
      <c r="H21" s="6">
        <f>Expected_MonthlyTotals!E15</f>
        <v/>
      </c>
      <c r="I21" s="6">
        <f>IF($B$3,SUMIFS(PQ_MonthlyTotals!$E$2:$E$2000,PQ_MonthlyTotals!$A$2:$A$2000,$A21),"")</f>
        <v/>
      </c>
      <c r="J21" s="6">
        <f>IF($B$3,I21-H21,"")</f>
        <v/>
      </c>
      <c r="K21" s="6">
        <f>Expected_MonthlyTotals!H15</f>
        <v/>
      </c>
      <c r="L21" s="6">
        <f>IF($B$3,SUMIFS(PQ_MonthlyTotals!$H$2:$H$2000,PQ_MonthlyTotals!$A$2:$A$2000,$A21),"")</f>
        <v/>
      </c>
      <c r="M21" s="6">
        <f>IF($B$3,L21-K21,"")</f>
        <v/>
      </c>
      <c r="N21" s="6">
        <f>Expected_MonthlyTotals!F15</f>
        <v/>
      </c>
      <c r="O21" s="6">
        <f>IF($B$3,SUMIFS(PQ_MonthlyTotals!$F$2:$F$2000,PQ_MonthlyTotals!$A$2:$A$2000,$A21),"")</f>
        <v/>
      </c>
      <c r="P21" s="6">
        <f>IF($B$3,O21-N21,"")</f>
        <v/>
      </c>
      <c r="Q21" s="6">
        <f>Expected_MonthlyTotals!J15</f>
        <v/>
      </c>
      <c r="R21" s="6">
        <f>IF($B$3,SUMIFS(PQ_MonthlyTotals!$J$2:$J$2000,PQ_MonthlyTotals!$A$2:$A$2000,$A21),"")</f>
        <v/>
      </c>
      <c r="S21" s="6">
        <f>IF($B$3,R21-Q21,"")</f>
        <v/>
      </c>
      <c r="T21" s="6">
        <f>Expected_MonthlyTotals!K15</f>
        <v/>
      </c>
      <c r="U21" s="6">
        <f>IF($B$3,SUMIFS(PQ_MonthlyTotals!$K$2:$K$2000,PQ_MonthlyTotals!$A$2:$A$2000,$A21),"")</f>
        <v/>
      </c>
      <c r="V21" s="6">
        <f>IF($B$3,U21-T21,"")</f>
        <v/>
      </c>
      <c r="W21">
        <f>IF(NOT($B$3),"NOT LOADED",IF(AND(ABS(D21)&lt;=$B$4,ABS(G21)&lt;=$B$4,ABS(J21)&lt;=$B$4,ABS(M21)&lt;=$B$4,ABS(P21)&lt;=$B$4,ABS(S21)&lt;=$B$4,ABS(V21)&lt;=$B$4),"OK","MISMATCH"))</f>
        <v/>
      </c>
    </row>
    <row r="22">
      <c r="A22" s="9">
        <f>Expected_MonthlyTotals!A16</f>
        <v/>
      </c>
      <c r="B22" s="10">
        <f>Expected_MonthlyTotals!B16</f>
        <v/>
      </c>
      <c r="C22" s="10">
        <f>IF($B$3,SUMIFS(PQ_MonthlyTotals!$B$2:$B$2000,PQ_MonthlyTotals!$A$2:$A$2000,$A22),"")</f>
        <v/>
      </c>
      <c r="D22" s="10">
        <f>IF($B$3,C22-B22,"")</f>
        <v/>
      </c>
      <c r="E22" s="6">
        <f>Expected_MonthlyTotals!D16</f>
        <v/>
      </c>
      <c r="F22" s="6">
        <f>IF($B$3,SUMIFS(PQ_MonthlyTotals!$D$2:$D$2000,PQ_MonthlyTotals!$A$2:$A$2000,$A22),"")</f>
        <v/>
      </c>
      <c r="G22" s="6">
        <f>IF($B$3,F22-E22,"")</f>
        <v/>
      </c>
      <c r="H22" s="6">
        <f>Expected_MonthlyTotals!E16</f>
        <v/>
      </c>
      <c r="I22" s="6">
        <f>IF($B$3,SUMIFS(PQ_MonthlyTotals!$E$2:$E$2000,PQ_MonthlyTotals!$A$2:$A$2000,$A22),"")</f>
        <v/>
      </c>
      <c r="J22" s="6">
        <f>IF($B$3,I22-H22,"")</f>
        <v/>
      </c>
      <c r="K22" s="6">
        <f>Expected_MonthlyTotals!H16</f>
        <v/>
      </c>
      <c r="L22" s="6">
        <f>IF($B$3,SUMIFS(PQ_MonthlyTotals!$H$2:$H$2000,PQ_MonthlyTotals!$A$2:$A$2000,$A22),"")</f>
        <v/>
      </c>
      <c r="M22" s="6">
        <f>IF($B$3,L22-K22,"")</f>
        <v/>
      </c>
      <c r="N22" s="6">
        <f>Expected_MonthlyTotals!F16</f>
        <v/>
      </c>
      <c r="O22" s="6">
        <f>IF($B$3,SUMIFS(PQ_MonthlyTotals!$F$2:$F$2000,PQ_MonthlyTotals!$A$2:$A$2000,$A22),"")</f>
        <v/>
      </c>
      <c r="P22" s="6">
        <f>IF($B$3,O22-N22,"")</f>
        <v/>
      </c>
      <c r="Q22" s="6">
        <f>Expected_MonthlyTotals!J16</f>
        <v/>
      </c>
      <c r="R22" s="6">
        <f>IF($B$3,SUMIFS(PQ_MonthlyTotals!$J$2:$J$2000,PQ_MonthlyTotals!$A$2:$A$2000,$A22),"")</f>
        <v/>
      </c>
      <c r="S22" s="6">
        <f>IF($B$3,R22-Q22,"")</f>
        <v/>
      </c>
      <c r="T22" s="6">
        <f>Expected_MonthlyTotals!K16</f>
        <v/>
      </c>
      <c r="U22" s="6">
        <f>IF($B$3,SUMIFS(PQ_MonthlyTotals!$K$2:$K$2000,PQ_MonthlyTotals!$A$2:$A$2000,$A22),"")</f>
        <v/>
      </c>
      <c r="V22" s="6">
        <f>IF($B$3,U22-T22,"")</f>
        <v/>
      </c>
      <c r="W22">
        <f>IF(NOT($B$3),"NOT LOADED",IF(AND(ABS(D22)&lt;=$B$4,ABS(G22)&lt;=$B$4,ABS(J22)&lt;=$B$4,ABS(M22)&lt;=$B$4,ABS(P22)&lt;=$B$4,ABS(S22)&lt;=$B$4,ABS(V22)&lt;=$B$4),"OK","MISMATCH"))</f>
        <v/>
      </c>
    </row>
    <row r="23">
      <c r="A23" s="9">
        <f>Expected_MonthlyTotals!A17</f>
        <v/>
      </c>
      <c r="B23" s="10">
        <f>Expected_MonthlyTotals!B17</f>
        <v/>
      </c>
      <c r="C23" s="10">
        <f>IF($B$3,SUMIFS(PQ_MonthlyTotals!$B$2:$B$2000,PQ_MonthlyTotals!$A$2:$A$2000,$A23),"")</f>
        <v/>
      </c>
      <c r="D23" s="10">
        <f>IF($B$3,C23-B23,"")</f>
        <v/>
      </c>
      <c r="E23" s="6">
        <f>Expected_MonthlyTotals!D17</f>
        <v/>
      </c>
      <c r="F23" s="6">
        <f>IF($B$3,SUMIFS(PQ_MonthlyTotals!$D$2:$D$2000,PQ_MonthlyTotals!$A$2:$A$2000,$A23),"")</f>
        <v/>
      </c>
      <c r="G23" s="6">
        <f>IF($B$3,F23-E23,"")</f>
        <v/>
      </c>
      <c r="H23" s="6">
        <f>Expected_MonthlyTotals!E17</f>
        <v/>
      </c>
      <c r="I23" s="6">
        <f>IF($B$3,SUMIFS(PQ_MonthlyTotals!$E$2:$E$2000,PQ_MonthlyTotals!$A$2:$A$2000,$A23),"")</f>
        <v/>
      </c>
      <c r="J23" s="6">
        <f>IF($B$3,I23-H23,"")</f>
        <v/>
      </c>
      <c r="K23" s="6">
        <f>Expected_MonthlyTotals!H17</f>
        <v/>
      </c>
      <c r="L23" s="6">
        <f>IF($B$3,SUMIFS(PQ_MonthlyTotals!$H$2:$H$2000,PQ_MonthlyTotals!$A$2:$A$2000,$A23),"")</f>
        <v/>
      </c>
      <c r="M23" s="6">
        <f>IF($B$3,L23-K23,"")</f>
        <v/>
      </c>
      <c r="N23" s="6">
        <f>Expected_MonthlyTotals!F17</f>
        <v/>
      </c>
      <c r="O23" s="6">
        <f>IF($B$3,SUMIFS(PQ_MonthlyTotals!$F$2:$F$2000,PQ_MonthlyTotals!$A$2:$A$2000,$A23),"")</f>
        <v/>
      </c>
      <c r="P23" s="6">
        <f>IF($B$3,O23-N23,"")</f>
        <v/>
      </c>
      <c r="Q23" s="6">
        <f>Expected_MonthlyTotals!J17</f>
        <v/>
      </c>
      <c r="R23" s="6">
        <f>IF($B$3,SUMIFS(PQ_MonthlyTotals!$J$2:$J$2000,PQ_MonthlyTotals!$A$2:$A$2000,$A23),"")</f>
        <v/>
      </c>
      <c r="S23" s="6">
        <f>IF($B$3,R23-Q23,"")</f>
        <v/>
      </c>
      <c r="T23" s="6">
        <f>Expected_MonthlyTotals!K17</f>
        <v/>
      </c>
      <c r="U23" s="6">
        <f>IF($B$3,SUMIFS(PQ_MonthlyTotals!$K$2:$K$2000,PQ_MonthlyTotals!$A$2:$A$2000,$A23),"")</f>
        <v/>
      </c>
      <c r="V23" s="6">
        <f>IF($B$3,U23-T23,"")</f>
        <v/>
      </c>
      <c r="W23">
        <f>IF(NOT($B$3),"NOT LOADED",IF(AND(ABS(D23)&lt;=$B$4,ABS(G23)&lt;=$B$4,ABS(J23)&lt;=$B$4,ABS(M23)&lt;=$B$4,ABS(P23)&lt;=$B$4,ABS(S23)&lt;=$B$4,ABS(V23)&lt;=$B$4),"OK","MISMATCH"))</f>
        <v/>
      </c>
    </row>
    <row r="24">
      <c r="A24" s="9">
        <f>Expected_MonthlyTotals!A18</f>
        <v/>
      </c>
      <c r="B24" s="10">
        <f>Expected_MonthlyTotals!B18</f>
        <v/>
      </c>
      <c r="C24" s="10">
        <f>IF($B$3,SUMIFS(PQ_MonthlyTotals!$B$2:$B$2000,PQ_MonthlyTotals!$A$2:$A$2000,$A24),"")</f>
        <v/>
      </c>
      <c r="D24" s="10">
        <f>IF($B$3,C24-B24,"")</f>
        <v/>
      </c>
      <c r="E24" s="6">
        <f>Expected_MonthlyTotals!D18</f>
        <v/>
      </c>
      <c r="F24" s="6">
        <f>IF($B$3,SUMIFS(PQ_MonthlyTotals!$D$2:$D$2000,PQ_MonthlyTotals!$A$2:$A$2000,$A24),"")</f>
        <v/>
      </c>
      <c r="G24" s="6">
        <f>IF($B$3,F24-E24,"")</f>
        <v/>
      </c>
      <c r="H24" s="6">
        <f>Expected_MonthlyTotals!E18</f>
        <v/>
      </c>
      <c r="I24" s="6">
        <f>IF($B$3,SUMIFS(PQ_MonthlyTotals!$E$2:$E$2000,PQ_MonthlyTotals!$A$2:$A$2000,$A24),"")</f>
        <v/>
      </c>
      <c r="J24" s="6">
        <f>IF($B$3,I24-H24,"")</f>
        <v/>
      </c>
      <c r="K24" s="6">
        <f>Expected_MonthlyTotals!H18</f>
        <v/>
      </c>
      <c r="L24" s="6">
        <f>IF($B$3,SUMIFS(PQ_MonthlyTotals!$H$2:$H$2000,PQ_MonthlyTotals!$A$2:$A$2000,$A24),"")</f>
        <v/>
      </c>
      <c r="M24" s="6">
        <f>IF($B$3,L24-K24,"")</f>
        <v/>
      </c>
      <c r="N24" s="6">
        <f>Expected_MonthlyTotals!F18</f>
        <v/>
      </c>
      <c r="O24" s="6">
        <f>IF($B$3,SUMIFS(PQ_MonthlyTotals!$F$2:$F$2000,PQ_MonthlyTotals!$A$2:$A$2000,$A24),"")</f>
        <v/>
      </c>
      <c r="P24" s="6">
        <f>IF($B$3,O24-N24,"")</f>
        <v/>
      </c>
      <c r="Q24" s="6">
        <f>Expected_MonthlyTotals!J18</f>
        <v/>
      </c>
      <c r="R24" s="6">
        <f>IF($B$3,SUMIFS(PQ_MonthlyTotals!$J$2:$J$2000,PQ_MonthlyTotals!$A$2:$A$2000,$A24),"")</f>
        <v/>
      </c>
      <c r="S24" s="6">
        <f>IF($B$3,R24-Q24,"")</f>
        <v/>
      </c>
      <c r="T24" s="6">
        <f>Expected_MonthlyTotals!K18</f>
        <v/>
      </c>
      <c r="U24" s="6">
        <f>IF($B$3,SUMIFS(PQ_MonthlyTotals!$K$2:$K$2000,PQ_MonthlyTotals!$A$2:$A$2000,$A24),"")</f>
        <v/>
      </c>
      <c r="V24" s="6">
        <f>IF($B$3,U24-T24,"")</f>
        <v/>
      </c>
      <c r="W24">
        <f>IF(NOT($B$3),"NOT LOADED",IF(AND(ABS(D24)&lt;=$B$4,ABS(G24)&lt;=$B$4,ABS(J24)&lt;=$B$4,ABS(M24)&lt;=$B$4,ABS(P24)&lt;=$B$4,ABS(S24)&lt;=$B$4,ABS(V24)&lt;=$B$4),"OK","MISMATCH"))</f>
        <v/>
      </c>
    </row>
    <row r="25">
      <c r="A25" s="9">
        <f>Expected_MonthlyTotals!A19</f>
        <v/>
      </c>
      <c r="B25" s="10">
        <f>Expected_MonthlyTotals!B19</f>
        <v/>
      </c>
      <c r="C25" s="10">
        <f>IF($B$3,SUMIFS(PQ_MonthlyTotals!$B$2:$B$2000,PQ_MonthlyTotals!$A$2:$A$2000,$A25),"")</f>
        <v/>
      </c>
      <c r="D25" s="10">
        <f>IF($B$3,C25-B25,"")</f>
        <v/>
      </c>
      <c r="E25" s="6">
        <f>Expected_MonthlyTotals!D19</f>
        <v/>
      </c>
      <c r="F25" s="6">
        <f>IF($B$3,SUMIFS(PQ_MonthlyTotals!$D$2:$D$2000,PQ_MonthlyTotals!$A$2:$A$2000,$A25),"")</f>
        <v/>
      </c>
      <c r="G25" s="6">
        <f>IF($B$3,F25-E25,"")</f>
        <v/>
      </c>
      <c r="H25" s="6">
        <f>Expected_MonthlyTotals!E19</f>
        <v/>
      </c>
      <c r="I25" s="6">
        <f>IF($B$3,SUMIFS(PQ_MonthlyTotals!$E$2:$E$2000,PQ_MonthlyTotals!$A$2:$A$2000,$A25),"")</f>
        <v/>
      </c>
      <c r="J25" s="6">
        <f>IF($B$3,I25-H25,"")</f>
        <v/>
      </c>
      <c r="K25" s="6">
        <f>Expected_MonthlyTotals!H19</f>
        <v/>
      </c>
      <c r="L25" s="6">
        <f>IF($B$3,SUMIFS(PQ_MonthlyTotals!$H$2:$H$2000,PQ_MonthlyTotals!$A$2:$A$2000,$A25),"")</f>
        <v/>
      </c>
      <c r="M25" s="6">
        <f>IF($B$3,L25-K25,"")</f>
        <v/>
      </c>
      <c r="N25" s="6">
        <f>Expected_MonthlyTotals!F19</f>
        <v/>
      </c>
      <c r="O25" s="6">
        <f>IF($B$3,SUMIFS(PQ_MonthlyTotals!$F$2:$F$2000,PQ_MonthlyTotals!$A$2:$A$2000,$A25),"")</f>
        <v/>
      </c>
      <c r="P25" s="6">
        <f>IF($B$3,O25-N25,"")</f>
        <v/>
      </c>
      <c r="Q25" s="6">
        <f>Expected_MonthlyTotals!J19</f>
        <v/>
      </c>
      <c r="R25" s="6">
        <f>IF($B$3,SUMIFS(PQ_MonthlyTotals!$J$2:$J$2000,PQ_MonthlyTotals!$A$2:$A$2000,$A25),"")</f>
        <v/>
      </c>
      <c r="S25" s="6">
        <f>IF($B$3,R25-Q25,"")</f>
        <v/>
      </c>
      <c r="T25" s="6">
        <f>Expected_MonthlyTotals!K19</f>
        <v/>
      </c>
      <c r="U25" s="6">
        <f>IF($B$3,SUMIFS(PQ_MonthlyTotals!$K$2:$K$2000,PQ_MonthlyTotals!$A$2:$A$2000,$A25),"")</f>
        <v/>
      </c>
      <c r="V25" s="6">
        <f>IF($B$3,U25-T25,"")</f>
        <v/>
      </c>
      <c r="W25">
        <f>IF(NOT($B$3),"NOT LOADED",IF(AND(ABS(D25)&lt;=$B$4,ABS(G25)&lt;=$B$4,ABS(J25)&lt;=$B$4,ABS(M25)&lt;=$B$4,ABS(P25)&lt;=$B$4,ABS(S25)&lt;=$B$4,ABS(V25)&lt;=$B$4),"OK","MISMATCH"))</f>
        <v/>
      </c>
    </row>
    <row r="26">
      <c r="A26" s="9">
        <f>Expected_MonthlyTotals!A20</f>
        <v/>
      </c>
      <c r="B26" s="10">
        <f>Expected_MonthlyTotals!B20</f>
        <v/>
      </c>
      <c r="C26" s="10">
        <f>IF($B$3,SUMIFS(PQ_MonthlyTotals!$B$2:$B$2000,PQ_MonthlyTotals!$A$2:$A$2000,$A26),"")</f>
        <v/>
      </c>
      <c r="D26" s="10">
        <f>IF($B$3,C26-B26,"")</f>
        <v/>
      </c>
      <c r="E26" s="6">
        <f>Expected_MonthlyTotals!D20</f>
        <v/>
      </c>
      <c r="F26" s="6">
        <f>IF($B$3,SUMIFS(PQ_MonthlyTotals!$D$2:$D$2000,PQ_MonthlyTotals!$A$2:$A$2000,$A26),"")</f>
        <v/>
      </c>
      <c r="G26" s="6">
        <f>IF($B$3,F26-E26,"")</f>
        <v/>
      </c>
      <c r="H26" s="6">
        <f>Expected_MonthlyTotals!E20</f>
        <v/>
      </c>
      <c r="I26" s="6">
        <f>IF($B$3,SUMIFS(PQ_MonthlyTotals!$E$2:$E$2000,PQ_MonthlyTotals!$A$2:$A$2000,$A26),"")</f>
        <v/>
      </c>
      <c r="J26" s="6">
        <f>IF($B$3,I26-H26,"")</f>
        <v/>
      </c>
      <c r="K26" s="6">
        <f>Expected_MonthlyTotals!H20</f>
        <v/>
      </c>
      <c r="L26" s="6">
        <f>IF($B$3,SUMIFS(PQ_MonthlyTotals!$H$2:$H$2000,PQ_MonthlyTotals!$A$2:$A$2000,$A26),"")</f>
        <v/>
      </c>
      <c r="M26" s="6">
        <f>IF($B$3,L26-K26,"")</f>
        <v/>
      </c>
      <c r="N26" s="6">
        <f>Expected_MonthlyTotals!F20</f>
        <v/>
      </c>
      <c r="O26" s="6">
        <f>IF($B$3,SUMIFS(PQ_MonthlyTotals!$F$2:$F$2000,PQ_MonthlyTotals!$A$2:$A$2000,$A26),"")</f>
        <v/>
      </c>
      <c r="P26" s="6">
        <f>IF($B$3,O26-N26,"")</f>
        <v/>
      </c>
      <c r="Q26" s="6">
        <f>Expected_MonthlyTotals!J20</f>
        <v/>
      </c>
      <c r="R26" s="6">
        <f>IF($B$3,SUMIFS(PQ_MonthlyTotals!$J$2:$J$2000,PQ_MonthlyTotals!$A$2:$A$2000,$A26),"")</f>
        <v/>
      </c>
      <c r="S26" s="6">
        <f>IF($B$3,R26-Q26,"")</f>
        <v/>
      </c>
      <c r="T26" s="6">
        <f>Expected_MonthlyTotals!K20</f>
        <v/>
      </c>
      <c r="U26" s="6">
        <f>IF($B$3,SUMIFS(PQ_MonthlyTotals!$K$2:$K$2000,PQ_MonthlyTotals!$A$2:$A$2000,$A26),"")</f>
        <v/>
      </c>
      <c r="V26" s="6">
        <f>IF($B$3,U26-T26,"")</f>
        <v/>
      </c>
      <c r="W26">
        <f>IF(NOT($B$3),"NOT LOADED",IF(AND(ABS(D26)&lt;=$B$4,ABS(G26)&lt;=$B$4,ABS(J26)&lt;=$B$4,ABS(M26)&lt;=$B$4,ABS(P26)&lt;=$B$4,ABS(S26)&lt;=$B$4,ABS(V26)&lt;=$B$4),"OK","MISMATCH"))</f>
        <v/>
      </c>
    </row>
    <row r="27">
      <c r="A27" s="9">
        <f>Expected_MonthlyTotals!A21</f>
        <v/>
      </c>
      <c r="B27" s="10">
        <f>Expected_MonthlyTotals!B21</f>
        <v/>
      </c>
      <c r="C27" s="10">
        <f>IF($B$3,SUMIFS(PQ_MonthlyTotals!$B$2:$B$2000,PQ_MonthlyTotals!$A$2:$A$2000,$A27),"")</f>
        <v/>
      </c>
      <c r="D27" s="10">
        <f>IF($B$3,C27-B27,"")</f>
        <v/>
      </c>
      <c r="E27" s="6">
        <f>Expected_MonthlyTotals!D21</f>
        <v/>
      </c>
      <c r="F27" s="6">
        <f>IF($B$3,SUMIFS(PQ_MonthlyTotals!$D$2:$D$2000,PQ_MonthlyTotals!$A$2:$A$2000,$A27),"")</f>
        <v/>
      </c>
      <c r="G27" s="6">
        <f>IF($B$3,F27-E27,"")</f>
        <v/>
      </c>
      <c r="H27" s="6">
        <f>Expected_MonthlyTotals!E21</f>
        <v/>
      </c>
      <c r="I27" s="6">
        <f>IF($B$3,SUMIFS(PQ_MonthlyTotals!$E$2:$E$2000,PQ_MonthlyTotals!$A$2:$A$2000,$A27),"")</f>
        <v/>
      </c>
      <c r="J27" s="6">
        <f>IF($B$3,I27-H27,"")</f>
        <v/>
      </c>
      <c r="K27" s="6">
        <f>Expected_MonthlyTotals!H21</f>
        <v/>
      </c>
      <c r="L27" s="6">
        <f>IF($B$3,SUMIFS(PQ_MonthlyTotals!$H$2:$H$2000,PQ_MonthlyTotals!$A$2:$A$2000,$A27),"")</f>
        <v/>
      </c>
      <c r="M27" s="6">
        <f>IF($B$3,L27-K27,"")</f>
        <v/>
      </c>
      <c r="N27" s="6">
        <f>Expected_MonthlyTotals!F21</f>
        <v/>
      </c>
      <c r="O27" s="6">
        <f>IF($B$3,SUMIFS(PQ_MonthlyTotals!$F$2:$F$2000,PQ_MonthlyTotals!$A$2:$A$2000,$A27),"")</f>
        <v/>
      </c>
      <c r="P27" s="6">
        <f>IF($B$3,O27-N27,"")</f>
        <v/>
      </c>
      <c r="Q27" s="6">
        <f>Expected_MonthlyTotals!J21</f>
        <v/>
      </c>
      <c r="R27" s="6">
        <f>IF($B$3,SUMIFS(PQ_MonthlyTotals!$J$2:$J$2000,PQ_MonthlyTotals!$A$2:$A$2000,$A27),"")</f>
        <v/>
      </c>
      <c r="S27" s="6">
        <f>IF($B$3,R27-Q27,"")</f>
        <v/>
      </c>
      <c r="T27" s="6">
        <f>Expected_MonthlyTotals!K21</f>
        <v/>
      </c>
      <c r="U27" s="6">
        <f>IF($B$3,SUMIFS(PQ_MonthlyTotals!$K$2:$K$2000,PQ_MonthlyTotals!$A$2:$A$2000,$A27),"")</f>
        <v/>
      </c>
      <c r="V27" s="6">
        <f>IF($B$3,U27-T27,"")</f>
        <v/>
      </c>
      <c r="W27">
        <f>IF(NOT($B$3),"NOT LOADED",IF(AND(ABS(D27)&lt;=$B$4,ABS(G27)&lt;=$B$4,ABS(J27)&lt;=$B$4,ABS(M27)&lt;=$B$4,ABS(P27)&lt;=$B$4,ABS(S27)&lt;=$B$4,ABS(V27)&lt;=$B$4),"OK","MISMATCH"))</f>
        <v/>
      </c>
    </row>
    <row r="28">
      <c r="A28" s="9">
        <f>Expected_MonthlyTotals!A22</f>
        <v/>
      </c>
      <c r="B28" s="10">
        <f>Expected_MonthlyTotals!B22</f>
        <v/>
      </c>
      <c r="C28" s="10">
        <f>IF($B$3,SUMIFS(PQ_MonthlyTotals!$B$2:$B$2000,PQ_MonthlyTotals!$A$2:$A$2000,$A28),"")</f>
        <v/>
      </c>
      <c r="D28" s="10">
        <f>IF($B$3,C28-B28,"")</f>
        <v/>
      </c>
      <c r="E28" s="6">
        <f>Expected_MonthlyTotals!D22</f>
        <v/>
      </c>
      <c r="F28" s="6">
        <f>IF($B$3,SUMIFS(PQ_MonthlyTotals!$D$2:$D$2000,PQ_MonthlyTotals!$A$2:$A$2000,$A28),"")</f>
        <v/>
      </c>
      <c r="G28" s="6">
        <f>IF($B$3,F28-E28,"")</f>
        <v/>
      </c>
      <c r="H28" s="6">
        <f>Expected_MonthlyTotals!E22</f>
        <v/>
      </c>
      <c r="I28" s="6">
        <f>IF($B$3,SUMIFS(PQ_MonthlyTotals!$E$2:$E$2000,PQ_MonthlyTotals!$A$2:$A$2000,$A28),"")</f>
        <v/>
      </c>
      <c r="J28" s="6">
        <f>IF($B$3,I28-H28,"")</f>
        <v/>
      </c>
      <c r="K28" s="6">
        <f>Expected_MonthlyTotals!H22</f>
        <v/>
      </c>
      <c r="L28" s="6">
        <f>IF($B$3,SUMIFS(PQ_MonthlyTotals!$H$2:$H$2000,PQ_MonthlyTotals!$A$2:$A$2000,$A28),"")</f>
        <v/>
      </c>
      <c r="M28" s="6">
        <f>IF($B$3,L28-K28,"")</f>
        <v/>
      </c>
      <c r="N28" s="6">
        <f>Expected_MonthlyTotals!F22</f>
        <v/>
      </c>
      <c r="O28" s="6">
        <f>IF($B$3,SUMIFS(PQ_MonthlyTotals!$F$2:$F$2000,PQ_MonthlyTotals!$A$2:$A$2000,$A28),"")</f>
        <v/>
      </c>
      <c r="P28" s="6">
        <f>IF($B$3,O28-N28,"")</f>
        <v/>
      </c>
      <c r="Q28" s="6">
        <f>Expected_MonthlyTotals!J22</f>
        <v/>
      </c>
      <c r="R28" s="6">
        <f>IF($B$3,SUMIFS(PQ_MonthlyTotals!$J$2:$J$2000,PQ_MonthlyTotals!$A$2:$A$2000,$A28),"")</f>
        <v/>
      </c>
      <c r="S28" s="6">
        <f>IF($B$3,R28-Q28,"")</f>
        <v/>
      </c>
      <c r="T28" s="6">
        <f>Expected_MonthlyTotals!K22</f>
        <v/>
      </c>
      <c r="U28" s="6">
        <f>IF($B$3,SUMIFS(PQ_MonthlyTotals!$K$2:$K$2000,PQ_MonthlyTotals!$A$2:$A$2000,$A28),"")</f>
        <v/>
      </c>
      <c r="V28" s="6">
        <f>IF($B$3,U28-T28,"")</f>
        <v/>
      </c>
      <c r="W28">
        <f>IF(NOT($B$3),"NOT LOADED",IF(AND(ABS(D28)&lt;=$B$4,ABS(G28)&lt;=$B$4,ABS(J28)&lt;=$B$4,ABS(M28)&lt;=$B$4,ABS(P28)&lt;=$B$4,ABS(S28)&lt;=$B$4,ABS(V28)&lt;=$B$4),"OK","MISMATCH"))</f>
        <v/>
      </c>
    </row>
    <row r="29">
      <c r="A29" s="9">
        <f>Expected_MonthlyTotals!A23</f>
        <v/>
      </c>
      <c r="B29" s="10">
        <f>Expected_MonthlyTotals!B23</f>
        <v/>
      </c>
      <c r="C29" s="10">
        <f>IF($B$3,SUMIFS(PQ_MonthlyTotals!$B$2:$B$2000,PQ_MonthlyTotals!$A$2:$A$2000,$A29),"")</f>
        <v/>
      </c>
      <c r="D29" s="10">
        <f>IF($B$3,C29-B29,"")</f>
        <v/>
      </c>
      <c r="E29" s="6">
        <f>Expected_MonthlyTotals!D23</f>
        <v/>
      </c>
      <c r="F29" s="6">
        <f>IF($B$3,SUMIFS(PQ_MonthlyTotals!$D$2:$D$2000,PQ_MonthlyTotals!$A$2:$A$2000,$A29),"")</f>
        <v/>
      </c>
      <c r="G29" s="6">
        <f>IF($B$3,F29-E29,"")</f>
        <v/>
      </c>
      <c r="H29" s="6">
        <f>Expected_MonthlyTotals!E23</f>
        <v/>
      </c>
      <c r="I29" s="6">
        <f>IF($B$3,SUMIFS(PQ_MonthlyTotals!$E$2:$E$2000,PQ_MonthlyTotals!$A$2:$A$2000,$A29),"")</f>
        <v/>
      </c>
      <c r="J29" s="6">
        <f>IF($B$3,I29-H29,"")</f>
        <v/>
      </c>
      <c r="K29" s="6">
        <f>Expected_MonthlyTotals!H23</f>
        <v/>
      </c>
      <c r="L29" s="6">
        <f>IF($B$3,SUMIFS(PQ_MonthlyTotals!$H$2:$H$2000,PQ_MonthlyTotals!$A$2:$A$2000,$A29),"")</f>
        <v/>
      </c>
      <c r="M29" s="6">
        <f>IF($B$3,L29-K29,"")</f>
        <v/>
      </c>
      <c r="N29" s="6">
        <f>Expected_MonthlyTotals!F23</f>
        <v/>
      </c>
      <c r="O29" s="6">
        <f>IF($B$3,SUMIFS(PQ_MonthlyTotals!$F$2:$F$2000,PQ_MonthlyTotals!$A$2:$A$2000,$A29),"")</f>
        <v/>
      </c>
      <c r="P29" s="6">
        <f>IF($B$3,O29-N29,"")</f>
        <v/>
      </c>
      <c r="Q29" s="6">
        <f>Expected_MonthlyTotals!J23</f>
        <v/>
      </c>
      <c r="R29" s="6">
        <f>IF($B$3,SUMIFS(PQ_MonthlyTotals!$J$2:$J$2000,PQ_MonthlyTotals!$A$2:$A$2000,$A29),"")</f>
        <v/>
      </c>
      <c r="S29" s="6">
        <f>IF($B$3,R29-Q29,"")</f>
        <v/>
      </c>
      <c r="T29" s="6">
        <f>Expected_MonthlyTotals!K23</f>
        <v/>
      </c>
      <c r="U29" s="6">
        <f>IF($B$3,SUMIFS(PQ_MonthlyTotals!$K$2:$K$2000,PQ_MonthlyTotals!$A$2:$A$2000,$A29),"")</f>
        <v/>
      </c>
      <c r="V29" s="6">
        <f>IF($B$3,U29-T29,"")</f>
        <v/>
      </c>
      <c r="W29">
        <f>IF(NOT($B$3),"NOT LOADED",IF(AND(ABS(D29)&lt;=$B$4,ABS(G29)&lt;=$B$4,ABS(J29)&lt;=$B$4,ABS(M29)&lt;=$B$4,ABS(P29)&lt;=$B$4,ABS(S29)&lt;=$B$4,ABS(V29)&lt;=$B$4),"OK","MISMATCH"))</f>
        <v/>
      </c>
    </row>
    <row r="30">
      <c r="A30" s="9">
        <f>Expected_MonthlyTotals!A24</f>
        <v/>
      </c>
      <c r="B30" s="10">
        <f>Expected_MonthlyTotals!B24</f>
        <v/>
      </c>
      <c r="C30" s="10">
        <f>IF($B$3,SUMIFS(PQ_MonthlyTotals!$B$2:$B$2000,PQ_MonthlyTotals!$A$2:$A$2000,$A30),"")</f>
        <v/>
      </c>
      <c r="D30" s="10">
        <f>IF($B$3,C30-B30,"")</f>
        <v/>
      </c>
      <c r="E30" s="6">
        <f>Expected_MonthlyTotals!D24</f>
        <v/>
      </c>
      <c r="F30" s="6">
        <f>IF($B$3,SUMIFS(PQ_MonthlyTotals!$D$2:$D$2000,PQ_MonthlyTotals!$A$2:$A$2000,$A30),"")</f>
        <v/>
      </c>
      <c r="G30" s="6">
        <f>IF($B$3,F30-E30,"")</f>
        <v/>
      </c>
      <c r="H30" s="6">
        <f>Expected_MonthlyTotals!E24</f>
        <v/>
      </c>
      <c r="I30" s="6">
        <f>IF($B$3,SUMIFS(PQ_MonthlyTotals!$E$2:$E$2000,PQ_MonthlyTotals!$A$2:$A$2000,$A30),"")</f>
        <v/>
      </c>
      <c r="J30" s="6">
        <f>IF($B$3,I30-H30,"")</f>
        <v/>
      </c>
      <c r="K30" s="6">
        <f>Expected_MonthlyTotals!H24</f>
        <v/>
      </c>
      <c r="L30" s="6">
        <f>IF($B$3,SUMIFS(PQ_MonthlyTotals!$H$2:$H$2000,PQ_MonthlyTotals!$A$2:$A$2000,$A30),"")</f>
        <v/>
      </c>
      <c r="M30" s="6">
        <f>IF($B$3,L30-K30,"")</f>
        <v/>
      </c>
      <c r="N30" s="6">
        <f>Expected_MonthlyTotals!F24</f>
        <v/>
      </c>
      <c r="O30" s="6">
        <f>IF($B$3,SUMIFS(PQ_MonthlyTotals!$F$2:$F$2000,PQ_MonthlyTotals!$A$2:$A$2000,$A30),"")</f>
        <v/>
      </c>
      <c r="P30" s="6">
        <f>IF($B$3,O30-N30,"")</f>
        <v/>
      </c>
      <c r="Q30" s="6">
        <f>Expected_MonthlyTotals!J24</f>
        <v/>
      </c>
      <c r="R30" s="6">
        <f>IF($B$3,SUMIFS(PQ_MonthlyTotals!$J$2:$J$2000,PQ_MonthlyTotals!$A$2:$A$2000,$A30),"")</f>
        <v/>
      </c>
      <c r="S30" s="6">
        <f>IF($B$3,R30-Q30,"")</f>
        <v/>
      </c>
      <c r="T30" s="6">
        <f>Expected_MonthlyTotals!K24</f>
        <v/>
      </c>
      <c r="U30" s="6">
        <f>IF($B$3,SUMIFS(PQ_MonthlyTotals!$K$2:$K$2000,PQ_MonthlyTotals!$A$2:$A$2000,$A30),"")</f>
        <v/>
      </c>
      <c r="V30" s="6">
        <f>IF($B$3,U30-T30,"")</f>
        <v/>
      </c>
      <c r="W30">
        <f>IF(NOT($B$3),"NOT LOADED",IF(AND(ABS(D30)&lt;=$B$4,ABS(G30)&lt;=$B$4,ABS(J30)&lt;=$B$4,ABS(M30)&lt;=$B$4,ABS(P30)&lt;=$B$4,ABS(S30)&lt;=$B$4,ABS(V30)&lt;=$B$4),"OK","MISMATCH"))</f>
        <v/>
      </c>
    </row>
    <row r="31">
      <c r="A31" s="9">
        <f>Expected_MonthlyTotals!A25</f>
        <v/>
      </c>
      <c r="B31" s="10">
        <f>Expected_MonthlyTotals!B25</f>
        <v/>
      </c>
      <c r="C31" s="10">
        <f>IF($B$3,SUMIFS(PQ_MonthlyTotals!$B$2:$B$2000,PQ_MonthlyTotals!$A$2:$A$2000,$A31),"")</f>
        <v/>
      </c>
      <c r="D31" s="10">
        <f>IF($B$3,C31-B31,"")</f>
        <v/>
      </c>
      <c r="E31" s="6">
        <f>Expected_MonthlyTotals!D25</f>
        <v/>
      </c>
      <c r="F31" s="6">
        <f>IF($B$3,SUMIFS(PQ_MonthlyTotals!$D$2:$D$2000,PQ_MonthlyTotals!$A$2:$A$2000,$A31),"")</f>
        <v/>
      </c>
      <c r="G31" s="6">
        <f>IF($B$3,F31-E31,"")</f>
        <v/>
      </c>
      <c r="H31" s="6">
        <f>Expected_MonthlyTotals!E25</f>
        <v/>
      </c>
      <c r="I31" s="6">
        <f>IF($B$3,SUMIFS(PQ_MonthlyTotals!$E$2:$E$2000,PQ_MonthlyTotals!$A$2:$A$2000,$A31),"")</f>
        <v/>
      </c>
      <c r="J31" s="6">
        <f>IF($B$3,I31-H31,"")</f>
        <v/>
      </c>
      <c r="K31" s="6">
        <f>Expected_MonthlyTotals!H25</f>
        <v/>
      </c>
      <c r="L31" s="6">
        <f>IF($B$3,SUMIFS(PQ_MonthlyTotals!$H$2:$H$2000,PQ_MonthlyTotals!$A$2:$A$2000,$A31),"")</f>
        <v/>
      </c>
      <c r="M31" s="6">
        <f>IF($B$3,L31-K31,"")</f>
        <v/>
      </c>
      <c r="N31" s="6">
        <f>Expected_MonthlyTotals!F25</f>
        <v/>
      </c>
      <c r="O31" s="6">
        <f>IF($B$3,SUMIFS(PQ_MonthlyTotals!$F$2:$F$2000,PQ_MonthlyTotals!$A$2:$A$2000,$A31),"")</f>
        <v/>
      </c>
      <c r="P31" s="6">
        <f>IF($B$3,O31-N31,"")</f>
        <v/>
      </c>
      <c r="Q31" s="6">
        <f>Expected_MonthlyTotals!J25</f>
        <v/>
      </c>
      <c r="R31" s="6">
        <f>IF($B$3,SUMIFS(PQ_MonthlyTotals!$J$2:$J$2000,PQ_MonthlyTotals!$A$2:$A$2000,$A31),"")</f>
        <v/>
      </c>
      <c r="S31" s="6">
        <f>IF($B$3,R31-Q31,"")</f>
        <v/>
      </c>
      <c r="T31" s="6">
        <f>Expected_MonthlyTotals!K25</f>
        <v/>
      </c>
      <c r="U31" s="6">
        <f>IF($B$3,SUMIFS(PQ_MonthlyTotals!$K$2:$K$2000,PQ_MonthlyTotals!$A$2:$A$2000,$A31),"")</f>
        <v/>
      </c>
      <c r="V31" s="6">
        <f>IF($B$3,U31-T31,"")</f>
        <v/>
      </c>
      <c r="W31">
        <f>IF(NOT($B$3),"NOT LOADED",IF(AND(ABS(D31)&lt;=$B$4,ABS(G31)&lt;=$B$4,ABS(J31)&lt;=$B$4,ABS(M31)&lt;=$B$4,ABS(P31)&lt;=$B$4,ABS(S31)&lt;=$B$4,ABS(V31)&lt;=$B$4),"OK","MISMATCH"))</f>
        <v/>
      </c>
    </row>
  </sheetData>
  <conditionalFormatting sqref="B2">
    <cfRule type="cellIs" priority="1" operator="equal" dxfId="0">
      <formula>"OK"</formula>
    </cfRule>
    <cfRule type="cellIs" priority="2" operator="equal" dxfId="0">
      <formula>"ALL CHECKS PASS"</formula>
    </cfRule>
    <cfRule type="cellIs" priority="3" operator="equal" dxfId="1">
      <formula>"MISMATCH"</formula>
    </cfRule>
    <cfRule type="cellIs" priority="7" operator="notEqual" dxfId="2">
      <formula>"ALL CHECKS PASS"</formula>
    </cfRule>
  </conditionalFormatting>
  <conditionalFormatting sqref="W8:W31">
    <cfRule type="cellIs" priority="4" operator="equal" dxfId="0">
      <formula>"OK"</formula>
    </cfRule>
    <cfRule type="cellIs" priority="5" operator="equal" dxfId="0">
      <formula>"ALL CHECKS PASS"</formula>
    </cfRule>
    <cfRule type="cellIs" priority="6" operator="equal" dxfId="1">
      <formula>"MISMATCH"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depreciation_model</dc:creator>
  <dcterms:created xsi:type="dcterms:W3CDTF">2026-01-01T00:00:00Z</dcterms:created>
  <dcterms:modified xsi:type="dcterms:W3CDTF">2026-10-22T03:37:29Z</dcterms:modified>
</cp:coreProperties>
</file>